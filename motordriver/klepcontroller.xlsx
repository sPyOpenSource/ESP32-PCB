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lepcontroller" sheetId="1" r:id="rId1"/>
  </sheets>
  <definedNames>
    <definedName name="BoardQty">'klepcontroller'!$I$1</definedName>
    <definedName name="digikey_part_data">'klepcontroller'!$J$5:$N$33</definedName>
    <definedName name="farnell_part_data">'klepcontroller'!$O$5:$S$33</definedName>
    <definedName name="global_part_data">'klepcontroller'!$A$5:$I$33</definedName>
    <definedName name="mouser_part_data">'klepcontroller'!$T$5:$X$33</definedName>
    <definedName name="newark_part_data">'klepcontroller'!$Y$5:$AC$33</definedName>
    <definedName name="rs_part_data">'klepcontroller'!$AD$5:$AH$33</definedName>
    <definedName name="tme_part_data">'klepcontroller'!$AI$5:$AM$33</definedName>
    <definedName name="TotalCost">'klepcontroller'!$I$3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N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S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X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C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H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M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6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6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6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F6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</t>
        </r>
      </text>
    </comment>
    <comment ref="G6" authorId="0">
      <text>
        <r>
          <rPr>
            <sz val="8"/>
            <color indexed="81"/>
            <rFont val="Tahoma"/>
            <family val="2"/>
          </rPr>
          <t>Total number of each part needed to assemble the board(s).
Gray -&gt; Not manf# codes.
Red -&gt; No parts available.
Orange -&gt; Parts available, but not enough.
Yellow -&gt; Enough parts available, but haven't purchased enough.</t>
        </r>
      </text>
    </comment>
    <comment ref="H6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I6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J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K6" authorId="0">
      <text>
        <r>
          <rPr>
            <sz val="8"/>
            <color indexed="81"/>
            <rFont val="Tahoma"/>
            <family val="2"/>
          </rPr>
          <t>Purchase quantity of each part from this distributor.
Red -&gt; Purchasing more than the available quantity.</t>
        </r>
      </text>
    </comment>
    <comment ref="L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price.</t>
        </r>
      </text>
    </comment>
    <comment ref="M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O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P6" authorId="0">
      <text>
        <r>
          <rPr>
            <sz val="8"/>
            <color indexed="81"/>
            <rFont val="Tahoma"/>
            <family val="2"/>
          </rPr>
          <t>Purchase quantity of each part from this distributor.
Red -&gt; Purchasing more than the available quantity.</t>
        </r>
      </text>
    </comment>
    <comment ref="Q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price.</t>
        </r>
      </text>
    </comment>
    <comment ref="R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S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T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U6" authorId="0">
      <text>
        <r>
          <rPr>
            <sz val="8"/>
            <color indexed="81"/>
            <rFont val="Tahoma"/>
            <family val="2"/>
          </rPr>
          <t>Purchase quantity of each part from this distributor.
Red -&gt; Purchasing more than the available quantity.</t>
        </r>
      </text>
    </comment>
    <comment ref="V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price.</t>
        </r>
      </text>
    </comment>
    <comment ref="W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X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Y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Z6" authorId="0">
      <text>
        <r>
          <rPr>
            <sz val="8"/>
            <color indexed="81"/>
            <rFont val="Tahoma"/>
            <family val="2"/>
          </rPr>
          <t>Purchase quantity of each part from this distributor.
Red -&gt; Purchasing more than the available quantity.</t>
        </r>
      </text>
    </comment>
    <comment ref="AA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price.</t>
        </r>
      </text>
    </comment>
    <comment ref="AB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AC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AD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AE6" authorId="0">
      <text>
        <r>
          <rPr>
            <sz val="8"/>
            <color indexed="81"/>
            <rFont val="Tahoma"/>
            <family val="2"/>
          </rPr>
          <t>Purchase quantity of each part from this distributor.
Red -&gt; Purchasing more than the available quantity.</t>
        </r>
      </text>
    </comment>
    <comment ref="AF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price.</t>
        </r>
      </text>
    </comment>
    <comment ref="AG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AH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AI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AJ6" authorId="0">
      <text>
        <r>
          <rPr>
            <sz val="8"/>
            <color indexed="81"/>
            <rFont val="Tahoma"/>
            <family val="2"/>
          </rPr>
          <t>Purchase quantity of each part from this distributor.
Red -&gt; Purchasing more than the available quantity.</t>
        </r>
      </text>
    </comment>
    <comment ref="AK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price.</t>
        </r>
      </text>
    </comment>
    <comment ref="AL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AM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L7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$0.31      $0.31
    10   $0.22      $2.16
   100   $0.12     $12.22
   500   $0.09     $43.13
  1000   $0.08     $75.47
  4000   $0.06    $231.24</t>
        </r>
      </text>
    </comment>
    <comment ref="N7" authorId="0">
      <text>
        <r>
          <rPr>
            <sz val="8"/>
            <color indexed="81"/>
            <rFont val="Tahoma"/>
            <family val="2"/>
          </rPr>
          <t>Footprint: 0603 (1608 Metric)
Manf: TDK Corporation
Size: 0.063" L x 0.032" W (1.60mm x 0.80mm)
Tolerance: ±10%
Value: 2.2µF
Voltage: 35V</t>
        </r>
      </text>
    </comment>
    <comment ref="O7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Q7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$0.11      $0.11
   100   $0.11     $10.97
   500   $0.08     $40.73
  1000   $0.07     $72.14</t>
        </r>
      </text>
    </comment>
    <comment ref="Y7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A7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$0.30      $0.30
    25   $0.24      $6.12
    50   $0.17      $8.45
   100   $0.09      $9.20
   250   $0.09     $21.75
   500   $0.08     $40.50
  1000   $0.07     $73.00</t>
        </r>
      </text>
    </comment>
    <comment ref="L8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$0.10      $0.10
    10   $0.03      $0.25
   100   $0.02      $2.28
   500   $0.02     $10.07
  4000   $0.02     $66.56</t>
        </r>
      </text>
    </comment>
    <comment ref="N8" authorId="0">
      <text>
        <r>
          <rPr>
            <sz val="8"/>
            <color indexed="81"/>
            <rFont val="Tahoma"/>
            <family val="2"/>
          </rPr>
          <t>Footprint: 0603 (1608 Metric)
Manf: Wurth Electronics Inc.
Size: 0.063" L x 0.032" W (1.60mm x 0.80mm)
Tolerance: ±10%
Value: 0.022µF
Voltage: 50V</t>
        </r>
      </text>
    </comment>
    <comment ref="Q8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$0.04      $0.04
   100   $0.04      $4.04
   500   $0.03     $14.97
  1000   $0.03     $25.58
  2000   $0.02     $44.56
  4000   $0.02     $85.35
 20000   $0.02    $405.51</t>
        </r>
      </text>
    </comment>
    <comment ref="AA8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$0.05      $0.05
    10   $0.05      $0.50
    25   $0.04      $1.00
    50   $0.04      $1.75
   100   $0.03      $3.00
   250   $0.03      $6.25
   500   $0.02     $10.00
  1000   $0.02     $16.00</t>
        </r>
      </text>
    </comment>
    <comment ref="Y9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A9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$0.02      $0.02
  4000   $0.02     $84.00</t>
        </r>
      </text>
    </comment>
    <comment ref="N10" authorId="0">
      <text>
        <r>
          <rPr>
            <sz val="8"/>
            <color indexed="81"/>
            <rFont val="Tahoma"/>
            <family val="2"/>
          </rPr>
          <t>Footprint: 0603 (1608 Metric)
Manf: TDK Corporation
Size: 0.063" L x 0.032" W (1.60mm x 0.80mm)
Tolerance: ±20%
Value: 0.22µF
Voltage: 35V</t>
        </r>
      </text>
    </comment>
    <comment ref="L11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$0.67      $0.67
    10   $0.49      $4.94
   100   $0.34     $33.91
   500   $0.27    $134.21
  1000   $0.21    $208.85
  2000   $0.20    $393.12
  5000   $0.18    $921.40
 10000   $0.17   $1719.90
 25000   $0.17   $4146.25
 50000   $0.16   $7985.50</t>
        </r>
      </text>
    </comment>
    <comment ref="N11" authorId="0">
      <text>
        <r>
          <rPr>
            <sz val="8"/>
            <color indexed="81"/>
            <rFont val="Tahoma"/>
            <family val="2"/>
          </rPr>
          <t>Footprint: Radial, Can - SMD
Manf: Cornell Dubilier Electronics (CDE)
Size: 0.248" Dia (6.30mm)
Tolerance: ±20%
Value: 47µF
Voltage: 35V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$0.77      $0.77
    10   $0.64      $6.37
    25   $0.54     $13.44
    50   $0.44     $21.93
   100   $0.34     $33.95
   250   $0.32     $80.45</t>
        </r>
      </text>
    </comment>
    <comment ref="AA11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$0.75      $0.75
    10   $0.62      $6.22
    25   $0.53     $13.12
    50   $0.43     $21.40
   100   $0.33     $33.10
   250   $0.32     $78.75
   500   $0.30    $149.00</t>
        </r>
      </text>
    </comment>
    <comment ref="L12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$0.41      $0.41
    10   $0.28      $2.84
   100   $0.16     $16.08
   500   $0.11     $56.76
  1000   $0.10     $99.33
  4000   $0.08    $304.32</t>
        </r>
      </text>
    </comment>
    <comment ref="N12" authorId="0">
      <text>
        <r>
          <rPr>
            <sz val="8"/>
            <color indexed="81"/>
            <rFont val="Tahoma"/>
            <family val="2"/>
          </rPr>
          <t>Footprint: 0603 (1608 Metric)
Manf: Murata Electronics North America
Size: 0.063" L x 0.032" W (1.60mm x 0.80mm)
Tolerance: ±20%
Value: 22µF
Voltage: 6.3V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$0.25      $0.25
    10   $0.25      $2.45
   100   $0.13     $12.97
   500   $0.10     $47.56
  2500   $0.08    $201.57
  5000   $0.07    $355.41
 10000   $0.06    $600.01
 50000   $0.05   $2622.83</t>
        </r>
      </text>
    </comment>
    <comment ref="AA13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$0.11      $0.11
    10   $0.11      $1.13
    25   $0.10      $2.48
    50   $0.08      $4.20
   100   $0.07      $7.00
   250   $0.07     $16.50
   500   $0.06     $31.00
  1000   $0.05     $53.00</t>
        </r>
      </text>
    </comment>
    <comment ref="J14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L14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$0.17      $0.17
    10   $0.12      $1.20
   100   $0.06      $5.63
   500   $0.04     $19.73
  1000   $0.03     $32.67
  2500   $0.03     $76.00
  4000   $0.02     $96.76
  5000   $0.03    $139.10
 15000   $0.02    $320.70</t>
        </r>
      </text>
    </comment>
    <comment ref="N14" authorId="0">
      <text>
        <r>
          <rPr>
            <sz val="8"/>
            <color indexed="81"/>
            <rFont val="Tahoma"/>
            <family val="2"/>
          </rPr>
          <t>Footprint: 0603 (1608 Metric)
Manf: AVX Corporation
Size: 0.063" L x 0.032" W (1.60mm x 0.81mm)
Tolerance: ±10%
Value: 0.1µF
Voltage: 50V</t>
        </r>
      </text>
    </comment>
    <comment ref="O14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Q14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$0.09      $0.09
   100   $0.09      $8.55
   500   $0.06     $27.82
  1000   $0.05     $46.33</t>
        </r>
      </text>
    </comment>
    <comment ref="T14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V14" authorId="0">
      <text>
        <r>
          <rPr>
            <sz val="8"/>
            <color indexed="81"/>
            <rFont val="Tahoma"/>
            <family val="2"/>
          </rPr>
          <t>Qty/Price Breaks:
  Qty  -  Unit$  -  Ext$
================
     1 $119.00    $119.00
    10  $86.00    $860.00
   100   $4.00    $400.00
   500  $28.00  $14000.00
  1000  $23.00  $23000.00
  4000  $16.00  $64000.00
  8000  $15.00 $120000.00
 24000  $13.00 $312000.00</t>
        </r>
      </text>
    </comment>
    <comment ref="Y14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A14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$0.02      $0.02
  4000   $0.02     $76.00
  8000   $0.02    $144.00</t>
        </r>
      </text>
    </comment>
    <comment ref="AI14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K14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$0.14      $0.14
   100   $0.14     $14.41
   300   $0.08     $24.96
  1000   $0.06     $59.50
  4000   $0.04    $169.20</t>
        </r>
      </text>
    </comment>
    <comment ref="L15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$0.30      $0.30
    10   $0.21      $2.07
   100   $0.12     $11.73
   500   $0.08     $41.40
  1000   $0.07     $72.45
  4000   $0.06    $222.00</t>
        </r>
      </text>
    </comment>
    <comment ref="N15" authorId="0">
      <text>
        <r>
          <rPr>
            <sz val="8"/>
            <color indexed="81"/>
            <rFont val="Tahoma"/>
            <family val="2"/>
          </rPr>
          <t>Footprint: 0603 (1608 Metric)
Manf: TDK Corporation
Size: 0.063" L x 0.032" W (1.60mm x 0.80mm)
Tolerance: ±10%
Value: 0.47µF
Voltage: 35V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$0.31      $0.31
    10   $0.31      $3.05
   100   $0.10     $10.16
   500   $0.08     $37.96
  1000   $0.06     $64.13</t>
        </r>
      </text>
    </comment>
    <comment ref="AA15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$0.20      $0.20
    10   $0.20      $2.00
    25   $0.16      $3.95
    50   $0.12      $5.85
   100   $0.07      $7.50
   250   $0.07     $17.75
   500   $0.07     $33.00
  1000   $0.06     $58.00</t>
        </r>
      </text>
    </comment>
    <comment ref="L16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$0.46      $0.46
    10   $0.36      $3.63
    25   $0.31      $7.64
   100   $0.25     $24.88
   250   $0.21     $51.54
   500   $0.17     $85.31
  1000   $0.13    $127.97
  2500   $0.12    $293.27
  5000   $0.11    $536.10
 10000   $0.10   $1003.00
 25000   $0.09   $2305.75</t>
        </r>
      </text>
    </comment>
    <comment ref="N16" authorId="0">
      <text>
        <r>
          <rPr>
            <sz val="8"/>
            <color indexed="81"/>
            <rFont val="Tahoma"/>
            <family val="2"/>
          </rPr>
          <t>Footprint: DO-214AC, SMA
Manf: Littelfuse Inc.</t>
        </r>
      </text>
    </comment>
    <comment ref="Q16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$0.13      $0.13
   100   $0.13     $13.08</t>
        </r>
      </text>
    </comment>
    <comment ref="AA16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$0.45      $0.45
    25   $0.33      $8.33
    50   $0.29     $14.35
   100   $0.24     $24.00
   250   $0.23     $56.25
   500   $0.21    $104.50
  1000   $0.16    $157.00</t>
        </r>
      </text>
    </comment>
    <comment ref="AK16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$0.53      $0.53
     3   $0.53      $1.60
    10   $0.32      $3.20
   100   $0.17     $17.43
  1000   $0.12    $116.20</t>
        </r>
      </text>
    </comment>
    <comment ref="L18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$0.85      $0.85
    10   $0.75      $7.47
   100   $0.64     $64.44
   500   $0.53    $263.61
  1000   $0.43    $426.03
  2000   $0.40    $798.82
  3000   $0.39   $1158.27
  5000   $0.37   $1863.90
 10000   $0.35   $3541.40
 25000   $0.35   $8653.75</t>
        </r>
      </text>
    </comment>
    <comment ref="N18" authorId="0">
      <text>
        <r>
          <rPr>
            <sz val="8"/>
            <color indexed="81"/>
            <rFont val="Tahoma"/>
            <family val="2"/>
          </rPr>
          <t>Manf: JST Sales America Inc.</t>
        </r>
      </text>
    </comment>
    <comment ref="Q18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$0.71      $0.71
    10   $0.71      $7.10
   100   $0.61     $61.18
   500   $0.50    $250.50
  1000   $0.38    $379.57
  2500   $0.37    $916.52
  5000   $0.34   $1679.79</t>
        </r>
      </text>
    </comment>
    <comment ref="AA18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$0.75      $0.75
    10   $0.75      $7.48
    25   $0.66     $16.50
    50   $0.54     $26.90
   100   $0.52     $52.20
   250   $0.45    $112.75
   500   $0.45    $224.50
  1000   $0.41    $414.00</t>
        </r>
      </text>
    </comment>
    <comment ref="AF18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$0.93      $0.93
     5   $0.93      $4.67
   125   $0.77     $96.37
   500   $0.61    $304.13
  2500   $0.59   $1485.29
  5000   $0.57   $2840.91</t>
        </r>
      </text>
    </comment>
    <comment ref="L19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$2.98      $2.98
    10   $2.86     $28.63
    25   $2.62     $65.61
    50   $2.50    $125.25
   150   $2.17    $325.32
   300   $1.90    $569.31
   750   $1.68   $1260.62
  1050   $1.57   $1651.00
  1500   $1.52   $2277.24
  3750   $1.46   $5489.77</t>
        </r>
      </text>
    </comment>
    <comment ref="N19" authorId="0">
      <text>
        <r>
          <rPr>
            <sz val="8"/>
            <color indexed="81"/>
            <rFont val="Tahoma"/>
            <family val="2"/>
          </rPr>
          <t>Manf: Molex, LLC</t>
        </r>
      </text>
    </comment>
    <comment ref="O19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Q19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$4.67      $4.67
    10   $4.14     $41.38
    50   $3.96    $198.04
   100   $3.76    $376.04
   150   $3.44    $516.31
   250   $2.99    $748.54</t>
        </r>
      </text>
    </comment>
    <comment ref="Y19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A19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$3.04      $3.04
    10   $2.93     $29.30
    25   $2.56     $64.00
    50   $2.50    $125.00
   100   $2.45    $245.00</t>
        </r>
      </text>
    </comment>
    <comment ref="AD19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Q22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$1.05      $1.05
   250   $0.83    $206.58
   500   $0.53    $265.82</t>
        </r>
      </text>
    </comment>
    <comment ref="J23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L23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$0.10      $0.10
    10   $0.03      $0.26
   100   $0.01      $1.04
  1000   $0.00      $4.66
  2500   $0.00     $10.12
  5000   $0.00     $16.70
 10000   $0.00     $26.40
 30000   $0.00     $69.60
 50000   $0.00    $106.50
100000   $0.00    $208.00</t>
        </r>
      </text>
    </comment>
    <comment ref="N23" authorId="0">
      <text>
        <r>
          <rPr>
            <sz val="8"/>
            <color indexed="81"/>
            <rFont val="Tahoma"/>
            <family val="2"/>
          </rPr>
          <t>Footprint: 0402 (1005 Metric)
Manf: Vishay Dale
Size: 0.039" L x 0.020" W (1.00mm x 0.50mm)
Tolerance: ±1%
Value: 100 kOhms</t>
        </r>
      </text>
    </comment>
    <comment ref="Y23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A23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$0.01      $0.01
 10000   $0.01     $50.00</t>
        </r>
      </text>
    </comment>
    <comment ref="J24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L24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$0.10      $0.10
    10   $0.06      $0.56
   100   $0.02      $2.27
  1000   $0.01     $10.21
  2500   $0.01     $22.15
  5000   $0.01     $36.60
 10000   $0.01     $57.80
 30000   $0.01    $152.40
 50000   $0.00    $233.00
100000   $0.00    $456.00</t>
        </r>
      </text>
    </comment>
    <comment ref="N24" authorId="0">
      <text>
        <r>
          <rPr>
            <sz val="8"/>
            <color indexed="81"/>
            <rFont val="Tahoma"/>
            <family val="2"/>
          </rPr>
          <t>Footprint: 0402 (1005 Metric)
Manf: Panasonic Electronic Components
Size: 0.039" L x 0.020" W (1.00mm x 0.50mm)
Tolerance: ±1%
Value: 1 MOhms</t>
        </r>
      </text>
    </comment>
    <comment ref="Q24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$0.02      $0.02
   100   $0.02      $1.92
   500   $0.02      $7.66
  2500   $0.01     $30.06</t>
        </r>
      </text>
    </comment>
    <comment ref="Q25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$0.00      $0.00
   100   $0.00      $0.32
   500   $0.00      $1.12
  2500   $0.00      $4.42
  5000   $0.00      $7.07</t>
        </r>
      </text>
    </comment>
    <comment ref="AA25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$0.02      $0.02
    10   $0.02      $0.16
   100   $0.01      $1.30
  1000   $0.01      $9.00</t>
        </r>
      </text>
    </comment>
    <comment ref="Q26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$0.01      $0.01
   100   $0.01      $0.65
   500   $0.01      $2.77
  2500   $0.00      $9.73
  5000   $0.00     $15.91
 10000   $0.00     $25.93
 50000   $0.00    $100.20</t>
        </r>
      </text>
    </comment>
    <comment ref="AA26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$0.01      $0.01
    10   $0.01      $0.15
    25   $0.01      $0.30
    50   $0.01      $0.50</t>
        </r>
      </text>
    </comment>
    <comment ref="J27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L27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$0.10      $0.10
    10   $0.03      $0.26
   100   $0.01      $1.07
  1000   $0.00      $4.78
  2500   $0.00     $10.38
  5000   $0.00     $15.60
 10000   $0.00     $27.10
 25000   $0.00     $59.50
 50000   $0.00    $109.50
125000   $0.00    $267.50</t>
        </r>
      </text>
    </comment>
    <comment ref="N27" authorId="0">
      <text>
        <r>
          <rPr>
            <sz val="8"/>
            <color indexed="81"/>
            <rFont val="Tahoma"/>
            <family val="2"/>
          </rPr>
          <t>Footprint: 0603 (1608 Metric)
Manf: Yageo
Size: 0.063" L x 0.032" W (1.60mm x 0.80mm)
Tolerance: ±1%
Value: 100 Ohms</t>
        </r>
      </text>
    </comment>
    <comment ref="Q27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$0.01      $0.01
    10   $0.01      $0.14
   100   $0.01      $1.19
   500   $0.01      $5.30
  1000   $0.01      $9.08</t>
        </r>
      </text>
    </comment>
    <comment ref="AA27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$0.12      $0.12
    10   $0.12      $1.15
    25   $0.01      $0.25
    50   $0.01      $0.35
   100   $0.00      $0.30</t>
        </r>
      </text>
    </comment>
    <comment ref="AI27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K27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$0.04      $0.04
   100   $0.04      $3.52
  1000   $0.01     $12.67
  5000   $0.01     $25.65
 15000   $0.00     $64.95
 50000   $0.00    $184.50</t>
        </r>
      </text>
    </comment>
    <comment ref="L29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$1.58      $1.58
    10   $1.42     $14.16
   100   $1.10    $110.40
   250   $1.07    $268.50
   500   $0.91    $455.98
  1000   $0.72    $719.97
  1250   $0.78    $973.31
  3000   $0.65   $1957.20
  6000   $0.62   $3718.68
 15000   $0.60   $8947.20</t>
        </r>
      </text>
    </comment>
    <comment ref="N29" authorId="0">
      <text>
        <r>
          <rPr>
            <sz val="8"/>
            <color indexed="81"/>
            <rFont val="Tahoma"/>
            <family val="2"/>
          </rPr>
          <t>Footprint: 10-WFDFN Exposed Pad
Manf: Texas Instruments</t>
        </r>
      </text>
    </comment>
    <comment ref="Q29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$1.11      $1.11
   250   $1.11    $278.49
   500   $0.97    $486.25
   750   $0.75    $563.17</t>
        </r>
      </text>
    </comment>
    <comment ref="Y29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A29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$1.01      $1.01
   250   $1.01    $252.50
   500   $0.94    $470.00
  1000   $0.78    $779.00
  1500   $0.75   $1128.00
  2500   $0.72   $1812.50</t>
        </r>
      </text>
    </comment>
    <comment ref="L30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$2.97      $2.97
    10   $2.67     $26.66
   100   $2.18    $218.40
  2000   $1.49   $2979.20</t>
        </r>
      </text>
    </comment>
    <comment ref="N30" authorId="0">
      <text>
        <r>
          <rPr>
            <sz val="8"/>
            <color indexed="81"/>
            <rFont val="Tahoma"/>
            <family val="2"/>
          </rPr>
          <t>Footprint: 32-LQFP
Manf: NXP USA Inc.</t>
        </r>
      </text>
    </comment>
    <comment ref="Q30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$3.06      $3.06
    10   $2.57     $25.70
    25   $2.43     $60.71
    50   $2.26    $113.16
   100   $2.25    $225.15
   250   $2.24    $559.93
   500   $2.19   $1096.28
  1000   $2.16   $2157.20</t>
        </r>
      </text>
    </comment>
    <comment ref="AA30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$2.70      $2.70
    10   $2.42     $24.20
    25   $2.13     $53.25
    50   $2.06    $103.00
   100   $1.99    $199.00
   250   $1.96    $490.00</t>
        </r>
      </text>
    </comment>
    <comment ref="L31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$4.31      $4.31
    10   $3.87     $38.70
   100   $3.17    $317.07
   500   $2.70   $1349.58
  1000   $2.28   $2276.40
  2000   $1.80   $3604.30</t>
        </r>
      </text>
    </comment>
    <comment ref="N31" authorId="0">
      <text>
        <r>
          <rPr>
            <sz val="8"/>
            <color indexed="81"/>
            <rFont val="Tahoma"/>
            <family val="2"/>
          </rPr>
          <t>Footprint: 24-TSSOP (0.173", 4.40mm Width) Exposed Pad
Manf: Texas Instruments</t>
        </r>
      </text>
    </comment>
    <comment ref="Y31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AA31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$2.33      $2.33
  2000   $2.33   $4660.00</t>
        </r>
      </text>
    </comment>
    <comment ref="L32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$2.65      $2.65
    10   $2.38     $23.77
   100   $1.91    $191.09
   500   $1.57    $784.99
  1000   $1.30   $1300.84
  2500   $1.18   $2939.62
  5000   $1.13   $5661.50</t>
        </r>
      </text>
    </comment>
    <comment ref="N32" authorId="0">
      <text>
        <r>
          <rPr>
            <sz val="8"/>
            <color indexed="81"/>
            <rFont val="Tahoma"/>
            <family val="2"/>
          </rPr>
          <t>Footprint: 8-SOIC (0.154", 3.90mm Width)
Manf: Texas Instruments</t>
        </r>
      </text>
    </comment>
    <comment ref="O32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Q32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$1.09      $1.09
  2500   $1.09   $2734.82</t>
        </r>
      </text>
    </comment>
    <comment ref="AA32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$3.18      $3.18
    10   $2.81     $28.10
    25   $2.57     $64.25
    50   $2.33    $116.50
   100   $2.02    $202.00
   250   $1.60    $400.00
   500   $1.52    $760.00
  1000   $1.43   $1430.00</t>
        </r>
      </text>
    </comment>
    <comment ref="Q33" authorId="0">
      <text>
        <r>
          <rPr>
            <sz val="8"/>
            <color indexed="81"/>
            <rFont val="Tahoma"/>
            <family val="2"/>
          </rPr>
          <t>Qty/Price Breaks:
  Qty  -  Unit$  -  Ext$
================
     1   $1.92      $1.92
    50   $1.83     $91.36
   100   $1.69    $168.57
   250   $1.49    $371.32
   500   $0.99    $497.45</t>
        </r>
      </text>
    </comment>
    <comment ref="Y33" authorId="0">
      <text>
        <r>
          <rPr>
            <sz val="8"/>
            <color indexed="81"/>
            <rFont val="Tahoma"/>
            <family val="2"/>
          </rPr>
          <t>This part is listed but is not normally stocked.</t>
        </r>
      </text>
    </comment>
    <comment ref="K35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P35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U35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Z35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AE35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AJ35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</commentList>
</comments>
</file>

<file path=xl/sharedStrings.xml><?xml version="1.0" encoding="utf-8"?>
<sst xmlns="http://schemas.openxmlformats.org/spreadsheetml/2006/main" count="330" uniqueCount="202">
  <si>
    <t>Global Part Info</t>
  </si>
  <si>
    <t>Manf#</t>
  </si>
  <si>
    <t>Ext$</t>
  </si>
  <si>
    <t>Unit$</t>
  </si>
  <si>
    <t>Manf</t>
  </si>
  <si>
    <t>Footprint</t>
  </si>
  <si>
    <t>Refs</t>
  </si>
  <si>
    <t>Qty</t>
  </si>
  <si>
    <t>Value</t>
  </si>
  <si>
    <t>Desc</t>
  </si>
  <si>
    <t>C1,C2</t>
  </si>
  <si>
    <t>C1608X5R1V225K080AC</t>
  </si>
  <si>
    <t>TDK</t>
  </si>
  <si>
    <t>Capacitors_SMD:C_0603</t>
  </si>
  <si>
    <t>2.20 uF</t>
  </si>
  <si>
    <t>C10</t>
  </si>
  <si>
    <t>885012206091</t>
  </si>
  <si>
    <t>Würth</t>
  </si>
  <si>
    <t>22 nF</t>
  </si>
  <si>
    <t>C11,C15</t>
  </si>
  <si>
    <t>06035C153M4T2A</t>
  </si>
  <si>
    <t>Murata</t>
  </si>
  <si>
    <t>15 nF</t>
  </si>
  <si>
    <t>C12</t>
  </si>
  <si>
    <t>C1608X7R1V224M080AB</t>
  </si>
  <si>
    <t>220 nF</t>
  </si>
  <si>
    <t>C13,C14</t>
  </si>
  <si>
    <t>AFK476M35D16T-F</t>
  </si>
  <si>
    <t>Cornell Dubilier</t>
  </si>
  <si>
    <t>Capacitors_SMD:CP_Elec_6.3x5.8</t>
  </si>
  <si>
    <t>47 uF</t>
  </si>
  <si>
    <t>C3</t>
  </si>
  <si>
    <t>ZRB186R60J226ME11L</t>
  </si>
  <si>
    <t>22 uF</t>
  </si>
  <si>
    <t>C4,C5</t>
  </si>
  <si>
    <t>C0402C120K5RACTU</t>
  </si>
  <si>
    <t>Kemet</t>
  </si>
  <si>
    <t>Capacitors_SMD:C_0402</t>
  </si>
  <si>
    <t>12 pF</t>
  </si>
  <si>
    <t>C6,C7</t>
  </si>
  <si>
    <t>06035C104KAT2A</t>
  </si>
  <si>
    <t>AVX</t>
  </si>
  <si>
    <t>100 nF</t>
  </si>
  <si>
    <t>C8,C9</t>
  </si>
  <si>
    <t>CGA3E1X7R1V474K080AC</t>
  </si>
  <si>
    <t>470 nF</t>
  </si>
  <si>
    <t>D1,D2</t>
  </si>
  <si>
    <t>SMAJ12CA</t>
  </si>
  <si>
    <t>Taiwan Semiconductor</t>
  </si>
  <si>
    <t>DO-214AC:DO-214AC</t>
  </si>
  <si>
    <t>D3</t>
  </si>
  <si>
    <t>LEDs:LED_Cree-PLCC4_2x2mm_CW</t>
  </si>
  <si>
    <t>LED_ARGB</t>
  </si>
  <si>
    <t>J1</t>
  </si>
  <si>
    <t>B6B-PH-SM4-TB(LF)(SN)</t>
  </si>
  <si>
    <t>JST</t>
  </si>
  <si>
    <t>Connectors_JST:JST_PH_B6B-PH-SM4-TB_06x2.00mm_Straight</t>
  </si>
  <si>
    <t>MOTOR</t>
  </si>
  <si>
    <t>J2</t>
  </si>
  <si>
    <t>44193-0003</t>
  </si>
  <si>
    <t>Molex</t>
  </si>
  <si>
    <t>44193-0003:44193-0003</t>
  </si>
  <si>
    <t>2 Port Modular Jack Right Angle 8/8 RJ45 Molex Female Cat3, Cat4 RJ45 Modular Jack, Right Angle, Surface Mount Mount, 44193</t>
  </si>
  <si>
    <t>J3</t>
  </si>
  <si>
    <t>Pin_Headers:Pin_Header_Straight_1x05_Pitch1.27mm_SMD_Pin1Left</t>
  </si>
  <si>
    <t>SWI</t>
  </si>
  <si>
    <t>JP1-JP4</t>
  </si>
  <si>
    <t>-</t>
  </si>
  <si>
    <t>Pin_Headers:Pin_Header_Straight_1x02_Pitch1.27mm</t>
  </si>
  <si>
    <t>Decay</t>
  </si>
  <si>
    <t>L1</t>
  </si>
  <si>
    <t>LPS4018-103MRB</t>
  </si>
  <si>
    <t>Coilcraft</t>
  </si>
  <si>
    <t>Inductors_SMD:L_Wuerth_WE-TPC-3816</t>
  </si>
  <si>
    <t>10.0 uH</t>
  </si>
  <si>
    <t>R1</t>
  </si>
  <si>
    <t>CRCW0402100KFKEDC</t>
  </si>
  <si>
    <t>Vishay</t>
  </si>
  <si>
    <t>Resistors_SMD:R_0402</t>
  </si>
  <si>
    <t>100 k</t>
  </si>
  <si>
    <t>R2</t>
  </si>
  <si>
    <t>ERJ2RKF1004X</t>
  </si>
  <si>
    <t>Panasonic</t>
  </si>
  <si>
    <t>1.00 m</t>
  </si>
  <si>
    <t>R3,R5</t>
  </si>
  <si>
    <t>MCWR04X1502FTL</t>
  </si>
  <si>
    <t>Multicomp</t>
  </si>
  <si>
    <t>15 k</t>
  </si>
  <si>
    <t>R4</t>
  </si>
  <si>
    <t>MCMR04X4532FTL</t>
  </si>
  <si>
    <t>45 k</t>
  </si>
  <si>
    <t>R6,R7</t>
  </si>
  <si>
    <t>RC0603FR-07100RL</t>
  </si>
  <si>
    <t>Yageo</t>
  </si>
  <si>
    <t>10</t>
  </si>
  <si>
    <t>R8</t>
  </si>
  <si>
    <t>690</t>
  </si>
  <si>
    <t>U1</t>
  </si>
  <si>
    <t>TPS62177DQCT</t>
  </si>
  <si>
    <t>TI</t>
  </si>
  <si>
    <t>Housings_SON:WSON-10-1EP_2x3mm_Pitch0.5mm_ThermalVias</t>
  </si>
  <si>
    <t>TPS62177DQCR</t>
  </si>
  <si>
    <t>U2</t>
  </si>
  <si>
    <t>MKL05Z32VLC4</t>
  </si>
  <si>
    <t>NXP</t>
  </si>
  <si>
    <t>jpfp:MKL05Z8VLC4</t>
  </si>
  <si>
    <t>MKL05Z8VLC4</t>
  </si>
  <si>
    <t>U3</t>
  </si>
  <si>
    <t>DRV8886ATPWPR</t>
  </si>
  <si>
    <t>jpfp:SOP65P640X120-25N</t>
  </si>
  <si>
    <t>DRV8886AT</t>
  </si>
  <si>
    <t>U4</t>
  </si>
  <si>
    <t>SN65HVD72DR</t>
  </si>
  <si>
    <t>Housings_SOIC:SOIC-8_3.9x4.9mm_Pitch1.27mm</t>
  </si>
  <si>
    <t>SN65HVD72DRBT</t>
  </si>
  <si>
    <t>Y1</t>
  </si>
  <si>
    <t>Q13FC13500004 FC-135 32.768KHZ 12.5PF</t>
  </si>
  <si>
    <t>Epson</t>
  </si>
  <si>
    <t>Crystals:Crystal_SMD_EuroQuartz_EQ161-2pin_3.2x1.5mm</t>
  </si>
  <si>
    <t>32.768 kHz</t>
  </si>
  <si>
    <t>Prj:</t>
  </si>
  <si>
    <t>Klepcontroller</t>
  </si>
  <si>
    <t>Co.:</t>
  </si>
  <si>
    <t>Tetra BV</t>
  </si>
  <si>
    <t>Prj date:</t>
  </si>
  <si>
    <t>vr 03 aug 2018 22:19:38 CEST</t>
  </si>
  <si>
    <t>Board Qty:</t>
  </si>
  <si>
    <t>Total Cost:</t>
  </si>
  <si>
    <t>Unit Cost:</t>
  </si>
  <si>
    <t>$ date:</t>
  </si>
  <si>
    <t>2018-08-03 22:25:36</t>
  </si>
  <si>
    <t>Digi-Key</t>
  </si>
  <si>
    <t>Avail</t>
  </si>
  <si>
    <t>Purch</t>
  </si>
  <si>
    <t>Cat#</t>
  </si>
  <si>
    <t>445-8025-1-ND</t>
  </si>
  <si>
    <t>732-8009-1-ND</t>
  </si>
  <si>
    <t>445-14240-2-ND</t>
  </si>
  <si>
    <t>338-2200-1-ND</t>
  </si>
  <si>
    <t>490-13254-1-ND</t>
  </si>
  <si>
    <t>478-10346-1-ND</t>
  </si>
  <si>
    <t>NonStk</t>
  </si>
  <si>
    <t>445-6928-1-ND</t>
  </si>
  <si>
    <t>SMAJ12CALFCT-ND</t>
  </si>
  <si>
    <t>455-1738-1-ND</t>
  </si>
  <si>
    <t>WM3271CT-ND</t>
  </si>
  <si>
    <t>541-3960-1-ND</t>
  </si>
  <si>
    <t>P1.00MLCT-ND</t>
  </si>
  <si>
    <t>311-100HRCT-ND</t>
  </si>
  <si>
    <t>296-41856-1-ND</t>
  </si>
  <si>
    <t>MKL05Z32VLC4-ND</t>
  </si>
  <si>
    <t>296-46556-5-ND</t>
  </si>
  <si>
    <t>296-39179-1-ND</t>
  </si>
  <si>
    <t>Farnell</t>
  </si>
  <si>
    <t>2211185</t>
  </si>
  <si>
    <t>2495183</t>
  </si>
  <si>
    <t>2131910</t>
  </si>
  <si>
    <t>2821274</t>
  </si>
  <si>
    <t>1301804</t>
  </si>
  <si>
    <t>2346964RL</t>
  </si>
  <si>
    <t>2677636</t>
  </si>
  <si>
    <t>9491945</t>
  </si>
  <si>
    <t>9251901</t>
  </si>
  <si>
    <t>2408105</t>
  </si>
  <si>
    <t>2302957</t>
  </si>
  <si>
    <t>2447112</t>
  </si>
  <si>
    <t>2073053</t>
  </si>
  <si>
    <t>9238360RL</t>
  </si>
  <si>
    <t>2255014</t>
  </si>
  <si>
    <t>2253371</t>
  </si>
  <si>
    <t>2854578</t>
  </si>
  <si>
    <t>1278036</t>
  </si>
  <si>
    <t>Mouser</t>
  </si>
  <si>
    <t>581-06035C104KAT2A</t>
  </si>
  <si>
    <t>Newark</t>
  </si>
  <si>
    <t>04X3253</t>
  </si>
  <si>
    <t>75Y6038</t>
  </si>
  <si>
    <t>06R4951</t>
  </si>
  <si>
    <t>82T5651</t>
  </si>
  <si>
    <t>46AC0570</t>
  </si>
  <si>
    <t>95W1395</t>
  </si>
  <si>
    <t>05X9641</t>
  </si>
  <si>
    <t>71J1939</t>
  </si>
  <si>
    <t>37K9975</t>
  </si>
  <si>
    <t>57H1074</t>
  </si>
  <si>
    <t>45AC8964</t>
  </si>
  <si>
    <t>94X1148</t>
  </si>
  <si>
    <t>86T3241</t>
  </si>
  <si>
    <t>98K7334</t>
  </si>
  <si>
    <t>47W7935</t>
  </si>
  <si>
    <t>53W0790</t>
  </si>
  <si>
    <t>32AC7198</t>
  </si>
  <si>
    <t>56AC6617</t>
  </si>
  <si>
    <t>31M4970</t>
  </si>
  <si>
    <t>Rs Components</t>
  </si>
  <si>
    <t>688-1335</t>
  </si>
  <si>
    <t>800-6930</t>
  </si>
  <si>
    <t>732-5258</t>
  </si>
  <si>
    <t>Tme</t>
  </si>
  <si>
    <t>SMAJ12CA-LF</t>
  </si>
  <si>
    <t>RC0603FR-07100R</t>
  </si>
  <si>
    <t>Distributors scraped by KiCost\N{REGISTERED SIGN} v.0.1.46</t>
  </si>
</sst>
</file>

<file path=xl/styles.xml><?xml version="1.0" encoding="utf-8"?>
<styleSheet xmlns="http://schemas.openxmlformats.org/spreadsheetml/2006/main">
  <numFmts count="1">
    <numFmt numFmtId="164" formatCode="$#,##0.00"/>
    <numFmt numFmtId="164" formatCode="$#,##0.00"/>
    <numFmt numFmtId="164" formatCode="$#,##0.00"/>
  </numFmts>
  <fonts count="1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0909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A2AE0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4D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9" fillId="0" borderId="0" xfId="1" applyAlignment="1" applyProtection="1"/>
    <xf numFmtId="0" fontId="10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5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80FF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product-detail/en/tdk-corporation/C1608X5R1V225K080AC/445-8025-1-ND/2792159" TargetMode="External"/><Relationship Id="rId2" Type="http://schemas.openxmlformats.org/officeDocument/2006/relationships/hyperlink" Target="http://it.farnell.com/tdk/c1608x5r1v225k080ac/condensatore-mlcc-x5r-2-2uf-35v/dp/2211185?st=C1608X5R1V225K080AC%20TDK" TargetMode="External"/><Relationship Id="rId3" Type="http://schemas.openxmlformats.org/officeDocument/2006/relationships/hyperlink" Target="http://www.newark.com/tdk/c1608x5r1v225k080ac/ceramic-capacitor-2-2uf-35v-x5r/dp/04X3253?st=C1608X5R1V225K080AC%20TDK" TargetMode="External"/><Relationship Id="rId4" Type="http://schemas.openxmlformats.org/officeDocument/2006/relationships/hyperlink" Target="https://www.digikey.com/product-detail/en/wurth-electronics-inc/885012206091/732-8009-1-ND/5454636" TargetMode="External"/><Relationship Id="rId5" Type="http://schemas.openxmlformats.org/officeDocument/2006/relationships/hyperlink" Target="http://it.farnell.com/wurth-elektronik/885012206091/condensat-mlcc-x7r-0-022uf-50v/dp/2495183?st=885012206091%20W&#252;rth" TargetMode="External"/><Relationship Id="rId6" Type="http://schemas.openxmlformats.org/officeDocument/2006/relationships/hyperlink" Target="http://www.newark.com/webapp/wcs/stores/servlet/Search?catalogId=15003&amp;langId=-1&amp;storeId=10194&amp;gs=true&amp;st=885012206091+W%C3%BCrth" TargetMode="External"/><Relationship Id="rId7" Type="http://schemas.openxmlformats.org/officeDocument/2006/relationships/hyperlink" Target="http://www.newark.com/webapp/wcs/stores/servlet/Search?catalogId=15003&amp;langId=-1&amp;storeId=10194&amp;gs=true&amp;st=06035C153M4T2A" TargetMode="External"/><Relationship Id="rId8" Type="http://schemas.openxmlformats.org/officeDocument/2006/relationships/hyperlink" Target="https://www.digikey.com/product-detail/en/tdk-corporation/C1608X7R1V224M080AB/445-14240-2-ND/3951476" TargetMode="External"/><Relationship Id="rId9" Type="http://schemas.openxmlformats.org/officeDocument/2006/relationships/hyperlink" Target="https://www.digikey.com/product-detail/en/cornell-dubilier-electronics-cde/AFK476M35D16T-F/338-2200-1-ND/2404346" TargetMode="External"/><Relationship Id="rId10" Type="http://schemas.openxmlformats.org/officeDocument/2006/relationships/hyperlink" Target="http://it.farnell.com/Search?storeId=10165&amp;catalogId=15001&amp;categoryName=&amp;selectedCategoryId=&amp;langId=-4&amp;categoryIdBox=&amp;st=AFK476M35D16T-F" TargetMode="External"/><Relationship Id="rId11" Type="http://schemas.openxmlformats.org/officeDocument/2006/relationships/hyperlink" Target="http://www.newark.com/cornell-dubilier/afk476m35d16t-f/aluminum-electrolytic-capacitor/dp/82T5651?st=AFK476M35D16T-F" TargetMode="External"/><Relationship Id="rId12" Type="http://schemas.openxmlformats.org/officeDocument/2006/relationships/hyperlink" Target="https://www.digikey.com/product-detail/en/murata-electronics-north-america/ZRB186R60J226ME11L/490-13254-1-ND/5877462" TargetMode="External"/><Relationship Id="rId13" Type="http://schemas.openxmlformats.org/officeDocument/2006/relationships/hyperlink" Target="http://it.farnell.com/kemet/c0402c120k5ractu/condensatore-mlcc-x7r-12pf-50v/dp/2821274?st=C0402C120K5RACTU" TargetMode="External"/><Relationship Id="rId14" Type="http://schemas.openxmlformats.org/officeDocument/2006/relationships/hyperlink" Target="http://www.newark.com/webapp/wcs/stores/servlet/Search?catalogId=15003&amp;langId=-1&amp;storeId=10194&amp;gs=true&amp;st=C0402C120K5RACTU" TargetMode="External"/><Relationship Id="rId15" Type="http://schemas.openxmlformats.org/officeDocument/2006/relationships/hyperlink" Target="https://www.digikey.com/product-detail/en/avx-corporation/06035C104KAT4A/478-10346-1-ND/6797442" TargetMode="External"/><Relationship Id="rId16" Type="http://schemas.openxmlformats.org/officeDocument/2006/relationships/hyperlink" Target="http://it.farnell.com/avx/06035c104kat2a/condensatore-mlcc-x7r-100nf-50v/dp/1301804?st=06035C104KAT2A" TargetMode="External"/><Relationship Id="rId17" Type="http://schemas.openxmlformats.org/officeDocument/2006/relationships/hyperlink" Target="https://www.mouser.com//ProductDetail/AVX/06035C104KAT2A?qs=sGAEpiMZZMs0AnBnWHyRQE2IRmxFPR1ePtLkvMARri4%3d" TargetMode="External"/><Relationship Id="rId18" Type="http://schemas.openxmlformats.org/officeDocument/2006/relationships/hyperlink" Target="http://www.newark.com/avx/06035c104kat2a/smd-multilayer-ceramic-capacitor/dp/95W1395?st=06035C104KAT2A" TargetMode="External"/><Relationship Id="rId19" Type="http://schemas.openxmlformats.org/officeDocument/2006/relationships/hyperlink" Target="https://www.tme.eu/en/details/06035c104kat2a/0603-mlcc-smd-capacitors/avx/" TargetMode="External"/><Relationship Id="rId20" Type="http://schemas.openxmlformats.org/officeDocument/2006/relationships/hyperlink" Target="https://www.digikey.com/product-detail/en/tdk-corporation/CGA3E1X7R1V474K080AC/445-6928-1-ND/2672946" TargetMode="External"/><Relationship Id="rId21" Type="http://schemas.openxmlformats.org/officeDocument/2006/relationships/hyperlink" Target="http://it.farnell.com/tdk/cga3e1x7r1v474k080ac/condensatore-mlcc-x7r-470nf-35v/dp/2346964RL?st=CGA3E1X7R1V474K080AC%20TDK" TargetMode="External"/><Relationship Id="rId22" Type="http://schemas.openxmlformats.org/officeDocument/2006/relationships/hyperlink" Target="http://www.newark.com/webapp/wcs/stores/servlet/Search?catalogId=15003&amp;langId=-1&amp;storeId=10194&amp;gs=true&amp;st=CGA3E1X7R1V474K080AC+TDK" TargetMode="External"/><Relationship Id="rId23" Type="http://schemas.openxmlformats.org/officeDocument/2006/relationships/hyperlink" Target="https://www.digikey.com/product-detail/en/littelfuse-inc/SMAJ12CA/SMAJ12CALFCT-ND/762483" TargetMode="External"/><Relationship Id="rId24" Type="http://schemas.openxmlformats.org/officeDocument/2006/relationships/hyperlink" Target="http://it.farnell.com/taiwan-semiconductor/smaj12ca/diodo-tvs-400w-12v-bidir-do-214ac/dp/2677636?st=SMAJ12CA" TargetMode="External"/><Relationship Id="rId25" Type="http://schemas.openxmlformats.org/officeDocument/2006/relationships/hyperlink" Target="http://www.newark.com/littelfuse/smaj12ca/tvs-diode-400w-12v-do-214ac/dp/71J1939?st=SMAJ12CA" TargetMode="External"/><Relationship Id="rId26" Type="http://schemas.openxmlformats.org/officeDocument/2006/relationships/hyperlink" Target="https://www.tme.eu/en/details/smaj12ca-lf/bidirectional-smd-transil-diodes/littelfuse/smaj12ca/" TargetMode="External"/><Relationship Id="rId27" Type="http://schemas.openxmlformats.org/officeDocument/2006/relationships/hyperlink" Target="https://www.digikey.com/product-detail/en/jst-sales-america-inc/B6B-PH-SM4-TB-LF-SN/455-1738-1-ND/926835" TargetMode="External"/><Relationship Id="rId28" Type="http://schemas.openxmlformats.org/officeDocument/2006/relationships/hyperlink" Target="http://it.farnell.com/Search?storeId=10165&amp;catalogId=15001&amp;categoryName=&amp;selectedCategoryId=&amp;langId=-4&amp;categoryIdBox=&amp;st=B6B-PH-SM4-TB%28LF%29%28SN%29+JST" TargetMode="External"/><Relationship Id="rId29" Type="http://schemas.openxmlformats.org/officeDocument/2006/relationships/hyperlink" Target="http://www.newark.com/webapp/wcs/stores/servlet/Search?catalogId=15003&amp;langId=-1&amp;storeId=10194&amp;gs=true&amp;st=B6B-PH-SM4-TB%28LF%29%28SN%29+JST" TargetMode="External"/><Relationship Id="rId30" Type="http://schemas.openxmlformats.org/officeDocument/2006/relationships/hyperlink" Target="http://it.rs-online.com/web/c/?searchTerm=B6B-PH-SM4-TB%28LF%29%28SN%29+JST" TargetMode="External"/><Relationship Id="rId31" Type="http://schemas.openxmlformats.org/officeDocument/2006/relationships/hyperlink" Target="https://www.digikey.com/product-detail/en/molex-llc/0441930003/WM3271CT-ND/2405781" TargetMode="External"/><Relationship Id="rId32" Type="http://schemas.openxmlformats.org/officeDocument/2006/relationships/hyperlink" Target="http://it.farnell.com/Search?storeId=10165&amp;catalogId=15001&amp;categoryName=&amp;selectedCategoryId=&amp;langId=-4&amp;categoryIdBox=&amp;st=44193-0003" TargetMode="External"/><Relationship Id="rId33" Type="http://schemas.openxmlformats.org/officeDocument/2006/relationships/hyperlink" Target="http://www.newark.com/webapp/wcs/stores/servlet/Search?catalogId=15003&amp;langId=-1&amp;storeId=10194&amp;gs=true&amp;st=44193-0003" TargetMode="External"/><Relationship Id="rId34" Type="http://schemas.openxmlformats.org/officeDocument/2006/relationships/hyperlink" Target="http://it.rs-online.com/web/c/?searchTerm=44193-0003" TargetMode="External"/><Relationship Id="rId35" Type="http://schemas.openxmlformats.org/officeDocument/2006/relationships/hyperlink" Target="http://it.farnell.com/coilcraft/lps4018-103mrb/inductor-shld-10uh-20-0-9a-smd/dp/2408105?st=LPS4018-103MRB%20Coilcraft" TargetMode="External"/><Relationship Id="rId36" Type="http://schemas.openxmlformats.org/officeDocument/2006/relationships/hyperlink" Target="https://www.digikey.com/product-detail/en/vishay-dale/CRCW0402100KFKEDC/541-3960-1-ND/7928643" TargetMode="External"/><Relationship Id="rId37" Type="http://schemas.openxmlformats.org/officeDocument/2006/relationships/hyperlink" Target="http://www.newark.com/webapp/wcs/stores/servlet/Search?catalogId=15003&amp;langId=-1&amp;storeId=10194&amp;gs=true&amp;st=CRCW0402100KFKEDC" TargetMode="External"/><Relationship Id="rId38" Type="http://schemas.openxmlformats.org/officeDocument/2006/relationships/hyperlink" Target="https://www.digikey.com/product-detail/en/panasonic-electronic-components/ERJ-2RKF1004X/P1.00MLCT-ND/79804" TargetMode="External"/><Relationship Id="rId39" Type="http://schemas.openxmlformats.org/officeDocument/2006/relationships/hyperlink" Target="http://it.farnell.com/panasonic-electronic-components/erj2rkf1004x/res-film-spesso-1m-1-0-1w-0402/dp/2302957?st=ERJ2RKF1004X" TargetMode="External"/><Relationship Id="rId40" Type="http://schemas.openxmlformats.org/officeDocument/2006/relationships/hyperlink" Target="http://it.rs-online.com/web/c/?searchTerm=ERJ2RKF1004X" TargetMode="External"/><Relationship Id="rId41" Type="http://schemas.openxmlformats.org/officeDocument/2006/relationships/hyperlink" Target="http://it.farnell.com/multicomp/mcwr04x1502ftl/res-film-spesso-15k-1-0-0625w/dp/2447112?st=MCWR04X1502FTL" TargetMode="External"/><Relationship Id="rId42" Type="http://schemas.openxmlformats.org/officeDocument/2006/relationships/hyperlink" Target="http://www.newark.com/multicomp/mcwr04x1502ftl/surface-mount-thick-film-resistor/dp/94X1148?st=MCWR04X1502FTL" TargetMode="External"/><Relationship Id="rId43" Type="http://schemas.openxmlformats.org/officeDocument/2006/relationships/hyperlink" Target="http://it.farnell.com/multicomp/mcmr04x4532ftl/res-ceramico-45k3-1-0-0625w-0402/dp/2073053?st=MCMR04X4532FTL" TargetMode="External"/><Relationship Id="rId44" Type="http://schemas.openxmlformats.org/officeDocument/2006/relationships/hyperlink" Target="http://www.newark.com/webapp/wcs/stores/servlet/Search?catalogId=15003&amp;langId=-1&amp;storeId=10194&amp;gs=true&amp;st=MCMR04X4532FTL" TargetMode="External"/><Relationship Id="rId45" Type="http://schemas.openxmlformats.org/officeDocument/2006/relationships/hyperlink" Target="https://www.digikey.com/product-detail/en/yageo/RC0603FR-07100RL/311-100HRCT-ND/729835" TargetMode="External"/><Relationship Id="rId46" Type="http://schemas.openxmlformats.org/officeDocument/2006/relationships/hyperlink" Target="http://it.farnell.com/yageo/rc0603fr-07100rl/res-film-spesso-100r-1-0-1w-0603/dp/9238360RL?st=RC0603FR-07100RL%20Yageo" TargetMode="External"/><Relationship Id="rId47" Type="http://schemas.openxmlformats.org/officeDocument/2006/relationships/hyperlink" Target="http://www.newark.com/yageo-phycomp/rc0603fr-07100rl/surface-mount-thick-film-resistor/dp/98K7334?st=RC0603FR-07100RL%20Yageo" TargetMode="External"/><Relationship Id="rId48" Type="http://schemas.openxmlformats.org/officeDocument/2006/relationships/hyperlink" Target="https://www.tme.eu/en/details/rc0603fr-07100r/0603-smd-resistors/yageo/rc0603fr-07100rl/" TargetMode="External"/><Relationship Id="rId49" Type="http://schemas.openxmlformats.org/officeDocument/2006/relationships/hyperlink" Target="https://www.digikey.com/product-detail/en/texas-instruments/TPS62177DQCR/296-41856-1-ND/5224532" TargetMode="External"/><Relationship Id="rId50" Type="http://schemas.openxmlformats.org/officeDocument/2006/relationships/hyperlink" Target="http://it.farnell.com/texas-instruments/tps62177dqct/conv-dc-dc-buck-1mhz-0-5a-wson/dp/2255014?st=TPS62177DQCT" TargetMode="External"/><Relationship Id="rId51" Type="http://schemas.openxmlformats.org/officeDocument/2006/relationships/hyperlink" Target="http://www.newark.com/texas-instruments/tps62177dqct/dc-dc-converter-buck-1mhz-500ma/dp/47W7935?st=TPS62177DQCT" TargetMode="External"/><Relationship Id="rId52" Type="http://schemas.openxmlformats.org/officeDocument/2006/relationships/hyperlink" Target="https://www.digikey.com/product-detail/en/nxp-usa-inc/MKL05Z32VLC4/MKL05Z32VLC4-ND/3873916" TargetMode="External"/><Relationship Id="rId53" Type="http://schemas.openxmlformats.org/officeDocument/2006/relationships/hyperlink" Target="http://it.farnell.com/Search?storeId=10165&amp;catalogId=15001&amp;categoryName=&amp;selectedCategoryId=&amp;langId=-4&amp;categoryIdBox=&amp;st=MKL05Z32VLC4" TargetMode="External"/><Relationship Id="rId54" Type="http://schemas.openxmlformats.org/officeDocument/2006/relationships/hyperlink" Target="http://www.newark.com/webapp/wcs/stores/servlet/Search?catalogId=15003&amp;langId=-1&amp;storeId=10194&amp;gs=true&amp;st=MKL05Z32VLC4" TargetMode="External"/><Relationship Id="rId55" Type="http://schemas.openxmlformats.org/officeDocument/2006/relationships/hyperlink" Target="https://www.digikey.com/product-detail/en/texas-instruments/DRV8886ATPWP/296-46556-5-ND/6816939" TargetMode="External"/><Relationship Id="rId56" Type="http://schemas.openxmlformats.org/officeDocument/2006/relationships/hyperlink" Target="http://www.newark.com/webapp/wcs/stores/servlet/Search?catalogId=15003&amp;langId=-1&amp;storeId=10194&amp;gs=true&amp;st=DRV8886ATPWPR" TargetMode="External"/><Relationship Id="rId57" Type="http://schemas.openxmlformats.org/officeDocument/2006/relationships/hyperlink" Target="https://www.digikey.com/product-detail/en/texas-instruments/SN65HVD72DR/296-39179-1-ND/5143186" TargetMode="External"/><Relationship Id="rId58" Type="http://schemas.openxmlformats.org/officeDocument/2006/relationships/hyperlink" Target="http://it.farnell.com/texas-instruments/sn65hvd72dr/rs422-rs485-txrx-250kbps-soic/dp/2854578?st=SN65HVD72DR" TargetMode="External"/><Relationship Id="rId59" Type="http://schemas.openxmlformats.org/officeDocument/2006/relationships/hyperlink" Target="http://www.newark.com/webapp/wcs/stores/servlet/Search?catalogId=15003&amp;langId=-1&amp;storeId=10194&amp;gs=true&amp;st=SN65HVD72DR" TargetMode="External"/><Relationship Id="rId60" Type="http://schemas.openxmlformats.org/officeDocument/2006/relationships/hyperlink" Target="http://it.farnell.com/epson/q13fc13500004-fc-135-32-768khz-12-5pf/crystal-fc-135-32-768-khz-12-5/dp/1278036?st=Q13FC13500004%20FC-135%2032.768KHZ%2012.5PF" TargetMode="External"/><Relationship Id="rId61" Type="http://schemas.openxmlformats.org/officeDocument/2006/relationships/hyperlink" Target="http://www.newark.com/webapp/wcs/stores/servlet/Search?catalogId=15003&amp;langId=-1&amp;storeId=10194&amp;gs=true&amp;st=Q13FC13500004+FC-135+32.768KHZ+12.5PF" TargetMode="External"/><Relationship Id="rId62" Type="http://schemas.openxmlformats.org/officeDocument/2006/relationships/vmlDrawing" Target="../drawings/vmlDrawing1.vml"/><Relationship Id="rId6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workbookViewId="0">
      <pane xSplit="9" ySplit="6" topLeftCell="J7" activePane="bottomRight" state="frozen"/>
      <selection pane="topRight" activeCell="J1" sqref="J1"/>
      <selection pane="bottomLeft" activeCell="A7" sqref="A7"/>
      <selection pane="bottomRight"/>
    </sheetView>
  </sheetViews>
  <sheetFormatPr defaultRowHeight="15" outlineLevelCol="2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15.7109375" customWidth="1"/>
    <col min="10" max="10" width="9.140625" outlineLevel="1"/>
    <col min="11" max="11" width="9.140625" outlineLevel="2"/>
    <col min="12" max="12" width="9.140625" outlineLevel="2"/>
    <col min="13" max="13" width="15.7109375" customWidth="1"/>
    <col min="14" max="14" width="15.7109375" customWidth="1" outlineLevel="2"/>
    <col min="15" max="15" width="9.140625" outlineLevel="1"/>
    <col min="16" max="16" width="9.140625" outlineLevel="2"/>
    <col min="17" max="17" width="9.140625" outlineLevel="2"/>
    <col min="18" max="18" width="15.7109375" customWidth="1"/>
    <col min="19" max="19" width="15.7109375" customWidth="1" outlineLevel="2"/>
    <col min="20" max="20" width="9.140625" outlineLevel="1"/>
    <col min="21" max="21" width="9.140625" outlineLevel="2"/>
    <col min="22" max="22" width="9.140625" outlineLevel="2"/>
    <col min="23" max="23" width="15.7109375" customWidth="1"/>
    <col min="24" max="24" width="15.7109375" customWidth="1" outlineLevel="2"/>
    <col min="25" max="25" width="9.140625" outlineLevel="1"/>
    <col min="26" max="26" width="9.140625" outlineLevel="2"/>
    <col min="27" max="27" width="9.140625" outlineLevel="2"/>
    <col min="28" max="28" width="15.7109375" customWidth="1"/>
    <col min="29" max="29" width="15.7109375" customWidth="1" outlineLevel="2"/>
    <col min="30" max="30" width="9.140625" outlineLevel="1"/>
    <col min="31" max="31" width="9.140625" outlineLevel="2"/>
    <col min="32" max="32" width="9.140625" outlineLevel="2"/>
    <col min="33" max="33" width="15.7109375" customWidth="1"/>
    <col min="34" max="34" width="15.7109375" customWidth="1" outlineLevel="2"/>
    <col min="35" max="35" width="9.140625" outlineLevel="1"/>
    <col min="36" max="36" width="9.140625" outlineLevel="2"/>
    <col min="37" max="37" width="9.140625" outlineLevel="2"/>
    <col min="38" max="38" width="15.7109375" customWidth="1"/>
    <col min="39" max="39" width="15.7109375" customWidth="1" outlineLevel="2"/>
  </cols>
  <sheetData>
    <row r="1" spans="1:39">
      <c r="A1" s="2" t="s">
        <v>120</v>
      </c>
      <c r="B1" s="3" t="s">
        <v>121</v>
      </c>
      <c r="H1" s="4" t="s">
        <v>126</v>
      </c>
      <c r="I1" s="4">
        <v>100</v>
      </c>
    </row>
    <row r="2" spans="1:39">
      <c r="A2" s="2" t="s">
        <v>122</v>
      </c>
      <c r="B2" s="3" t="s">
        <v>123</v>
      </c>
      <c r="H2" s="2" t="s">
        <v>128</v>
      </c>
      <c r="I2" s="5">
        <f>TotalCost/BoardQty</f>
        <v>0</v>
      </c>
    </row>
    <row r="3" spans="1:39">
      <c r="A3" s="2" t="s">
        <v>124</v>
      </c>
      <c r="B3" s="3" t="s">
        <v>125</v>
      </c>
      <c r="H3" s="2" t="s">
        <v>127</v>
      </c>
      <c r="I3" s="6">
        <f>SUM(I7:I33)</f>
        <v>0</v>
      </c>
      <c r="M3" s="6">
        <f>SUM(M7:M33)</f>
        <v>0</v>
      </c>
      <c r="N3" s="7">
        <f>(ROWS(M7:M33)-COUNTBLANK(M7:M33))&amp;" of "&amp;ROWS(M7:M33)&amp;" parts found"</f>
        <v>0</v>
      </c>
      <c r="R3" s="6">
        <f>SUM(R7:R33)</f>
        <v>0</v>
      </c>
      <c r="S3" s="7">
        <f>(ROWS(R7:R33)-COUNTBLANK(R7:R33))&amp;" of "&amp;ROWS(R7:R33)&amp;" parts found"</f>
        <v>0</v>
      </c>
      <c r="W3" s="6">
        <f>SUM(W7:W33)</f>
        <v>0</v>
      </c>
      <c r="X3" s="7">
        <f>(ROWS(W7:W33)-COUNTBLANK(W7:W33))&amp;" of "&amp;ROWS(W7:W33)&amp;" parts found"</f>
        <v>0</v>
      </c>
      <c r="AB3" s="6">
        <f>SUM(AB7:AB33)</f>
        <v>0</v>
      </c>
      <c r="AC3" s="7">
        <f>(ROWS(AB7:AB33)-COUNTBLANK(AB7:AB33))&amp;" of "&amp;ROWS(AB7:AB33)&amp;" parts found"</f>
        <v>0</v>
      </c>
      <c r="AG3" s="6">
        <f>SUM(AG7:AG33)</f>
        <v>0</v>
      </c>
      <c r="AH3" s="7">
        <f>(ROWS(AG7:AG33)-COUNTBLANK(AG7:AG33))&amp;" of "&amp;ROWS(AG7:AG33)&amp;" parts found"</f>
        <v>0</v>
      </c>
      <c r="AL3" s="6">
        <f>SUM(AL7:AL33)</f>
        <v>0</v>
      </c>
      <c r="AM3" s="7">
        <f>(ROWS(AL7:AL33)-COUNTBLANK(AL7:AL33))&amp;" of "&amp;ROWS(AL7:AL33)&amp;" parts found"</f>
        <v>0</v>
      </c>
    </row>
    <row r="4" spans="1:39">
      <c r="A4" s="2" t="s">
        <v>129</v>
      </c>
      <c r="B4" s="3" t="s">
        <v>130</v>
      </c>
    </row>
    <row r="5" spans="1:39">
      <c r="A5" s="8" t="s">
        <v>0</v>
      </c>
      <c r="B5" s="8"/>
      <c r="C5" s="8"/>
      <c r="D5" s="8"/>
      <c r="E5" s="8"/>
      <c r="F5" s="8"/>
      <c r="G5" s="8"/>
      <c r="H5" s="8"/>
      <c r="I5" s="8"/>
      <c r="J5" s="9" t="s">
        <v>131</v>
      </c>
      <c r="K5" s="9"/>
      <c r="L5" s="9"/>
      <c r="M5" s="9"/>
      <c r="N5" s="9"/>
      <c r="O5" s="10" t="s">
        <v>153</v>
      </c>
      <c r="P5" s="10"/>
      <c r="Q5" s="10"/>
      <c r="R5" s="10"/>
      <c r="S5" s="10"/>
      <c r="T5" s="11" t="s">
        <v>172</v>
      </c>
      <c r="U5" s="11"/>
      <c r="V5" s="11"/>
      <c r="W5" s="11"/>
      <c r="X5" s="11"/>
      <c r="Y5" s="12" t="s">
        <v>174</v>
      </c>
      <c r="Z5" s="12"/>
      <c r="AA5" s="12"/>
      <c r="AB5" s="12"/>
      <c r="AC5" s="12"/>
      <c r="AD5" s="13" t="s">
        <v>194</v>
      </c>
      <c r="AE5" s="13"/>
      <c r="AF5" s="13"/>
      <c r="AG5" s="13"/>
      <c r="AH5" s="13"/>
      <c r="AI5" s="14" t="s">
        <v>198</v>
      </c>
      <c r="AJ5" s="14"/>
      <c r="AK5" s="14"/>
      <c r="AL5" s="14"/>
      <c r="AM5" s="14"/>
    </row>
    <row r="6" spans="1:39">
      <c r="A6" s="15" t="s">
        <v>6</v>
      </c>
      <c r="B6" s="15" t="s">
        <v>8</v>
      </c>
      <c r="C6" s="15" t="s">
        <v>9</v>
      </c>
      <c r="D6" s="15" t="s">
        <v>5</v>
      </c>
      <c r="E6" s="15" t="s">
        <v>4</v>
      </c>
      <c r="F6" s="15" t="s">
        <v>1</v>
      </c>
      <c r="G6" s="15" t="s">
        <v>7</v>
      </c>
      <c r="H6" s="15" t="s">
        <v>3</v>
      </c>
      <c r="I6" s="15" t="s">
        <v>2</v>
      </c>
      <c r="J6" s="15" t="s">
        <v>132</v>
      </c>
      <c r="K6" s="15" t="s">
        <v>133</v>
      </c>
      <c r="L6" s="15" t="s">
        <v>3</v>
      </c>
      <c r="M6" s="15" t="s">
        <v>2</v>
      </c>
      <c r="N6" s="15" t="s">
        <v>134</v>
      </c>
      <c r="O6" s="15" t="s">
        <v>132</v>
      </c>
      <c r="P6" s="15" t="s">
        <v>133</v>
      </c>
      <c r="Q6" s="15" t="s">
        <v>3</v>
      </c>
      <c r="R6" s="15" t="s">
        <v>2</v>
      </c>
      <c r="S6" s="15" t="s">
        <v>134</v>
      </c>
      <c r="T6" s="15" t="s">
        <v>132</v>
      </c>
      <c r="U6" s="15" t="s">
        <v>133</v>
      </c>
      <c r="V6" s="15" t="s">
        <v>3</v>
      </c>
      <c r="W6" s="15" t="s">
        <v>2</v>
      </c>
      <c r="X6" s="15" t="s">
        <v>134</v>
      </c>
      <c r="Y6" s="15" t="s">
        <v>132</v>
      </c>
      <c r="Z6" s="15" t="s">
        <v>133</v>
      </c>
      <c r="AA6" s="15" t="s">
        <v>3</v>
      </c>
      <c r="AB6" s="15" t="s">
        <v>2</v>
      </c>
      <c r="AC6" s="15" t="s">
        <v>134</v>
      </c>
      <c r="AD6" s="15" t="s">
        <v>132</v>
      </c>
      <c r="AE6" s="15" t="s">
        <v>133</v>
      </c>
      <c r="AF6" s="15" t="s">
        <v>3</v>
      </c>
      <c r="AG6" s="15" t="s">
        <v>2</v>
      </c>
      <c r="AH6" s="15" t="s">
        <v>134</v>
      </c>
      <c r="AI6" s="15" t="s">
        <v>132</v>
      </c>
      <c r="AJ6" s="15" t="s">
        <v>133</v>
      </c>
      <c r="AK6" s="15" t="s">
        <v>3</v>
      </c>
      <c r="AL6" s="15" t="s">
        <v>2</v>
      </c>
      <c r="AM6" s="15" t="s">
        <v>134</v>
      </c>
    </row>
    <row r="7" spans="1:39">
      <c r="A7" s="16" t="s">
        <v>10</v>
      </c>
      <c r="B7" s="16" t="s">
        <v>14</v>
      </c>
      <c r="D7" s="16" t="s">
        <v>13</v>
      </c>
      <c r="E7" s="16" t="s">
        <v>12</v>
      </c>
      <c r="F7" s="16" t="s">
        <v>11</v>
      </c>
      <c r="G7" s="16">
        <f>BoardQty*2</f>
        <v>0</v>
      </c>
      <c r="H7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7" s="17">
        <f>iferror(G7*H7,"")</f>
        <v>0</v>
      </c>
      <c r="J7" s="16">
        <v>50</v>
      </c>
      <c r="L7" s="17">
        <f>iferror(lookup(if(K7="",G7,K7),{0,1,10,100,500,1000,4000},{0.0,0.31,0.216,0.1222,0.08626,0.07547,0.05781}),"")</f>
        <v>0</v>
      </c>
      <c r="M7" s="17">
        <f>iferror(if(K7="",G7,K7)*L7,"")</f>
        <v>0</v>
      </c>
      <c r="N7" s="18" t="s">
        <v>135</v>
      </c>
      <c r="O7" s="19" t="s">
        <v>141</v>
      </c>
      <c r="Q7" s="17">
        <f>iferror(lookup(if(P7="",G7,P7),{0,1,100,500,1000},{0.0,0.10974628,0.10974628,0.08145508,0.07214256}),"")</f>
        <v>0</v>
      </c>
      <c r="R7" s="17">
        <f>iferror(if(P7="",G7,P7)*Q7,"")</f>
        <v>0</v>
      </c>
      <c r="S7" s="18" t="s">
        <v>154</v>
      </c>
      <c r="Y7" s="19" t="s">
        <v>141</v>
      </c>
      <c r="AA7" s="17">
        <f>iferror(lookup(if(Z7="",G7,Z7),{0,1,25,50,100,250,500,1000},{0.0,0.297,0.245,0.169,0.092,0.087,0.081,0.073}),"")</f>
        <v>0</v>
      </c>
      <c r="AB7" s="17">
        <f>iferror(if(Z7="",G7,Z7)*AA7,"")</f>
        <v>0</v>
      </c>
      <c r="AC7" s="18" t="s">
        <v>175</v>
      </c>
    </row>
    <row r="8" spans="1:39">
      <c r="A8" s="16" t="s">
        <v>15</v>
      </c>
      <c r="B8" s="16" t="s">
        <v>18</v>
      </c>
      <c r="D8" s="16" t="s">
        <v>13</v>
      </c>
      <c r="E8" s="16" t="s">
        <v>17</v>
      </c>
      <c r="F8" s="16" t="s">
        <v>16</v>
      </c>
      <c r="G8" s="16">
        <f>BoardQty*1</f>
        <v>0</v>
      </c>
      <c r="H8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8" s="17">
        <f>iferror(G8*H8,"")</f>
        <v>0</v>
      </c>
      <c r="J8" s="16">
        <v>2812</v>
      </c>
      <c r="L8" s="17">
        <f>iferror(lookup(if(K8="",G8,K8),{0,1,10,100,500,4000},{0.0,0.1,0.025,0.0228,0.02014,0.01664}),"")</f>
        <v>0</v>
      </c>
      <c r="M8" s="17">
        <f>iferror(if(K8="",G8,K8)*L8,"")</f>
        <v>0</v>
      </c>
      <c r="N8" s="18" t="s">
        <v>136</v>
      </c>
      <c r="O8" s="16">
        <v>3208</v>
      </c>
      <c r="Q8" s="17">
        <f>iferror(lookup(if(P8="",G8,P8),{0,1,100,500,1000,2000,4000,20000},{0.0,0.04043284,0.04043284,0.02994152,0.02557996,0.02227932,0.02133628,0.02027536}),"")</f>
        <v>0</v>
      </c>
      <c r="R8" s="17">
        <f>iferror(if(P8="",G8,P8)*Q8,"")</f>
        <v>0</v>
      </c>
      <c r="S8" s="18" t="s">
        <v>155</v>
      </c>
      <c r="Y8" s="16">
        <v>2750</v>
      </c>
      <c r="AA8" s="17">
        <f>iferror(lookup(if(Z8="",G8,Z8),{0,1,10,25,50,100,250,500,1000},{0.0,0.05,0.05,0.04,0.035,0.03,0.025,0.02,0.016}),"")</f>
        <v>0</v>
      </c>
      <c r="AB8" s="17">
        <f>iferror(if(Z8="",G8,Z8)*AA8,"")</f>
        <v>0</v>
      </c>
      <c r="AC8" s="18" t="s">
        <v>176</v>
      </c>
    </row>
    <row r="9" spans="1:39">
      <c r="A9" s="16" t="s">
        <v>19</v>
      </c>
      <c r="B9" s="16" t="s">
        <v>22</v>
      </c>
      <c r="D9" s="16" t="s">
        <v>13</v>
      </c>
      <c r="E9" s="16" t="s">
        <v>21</v>
      </c>
      <c r="F9" s="16" t="s">
        <v>20</v>
      </c>
      <c r="G9" s="16">
        <f>BoardQty*2</f>
        <v>0</v>
      </c>
      <c r="H9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9" s="17">
        <f>iferror(G9*H9,"")</f>
        <v>0</v>
      </c>
      <c r="Y9" s="19" t="s">
        <v>141</v>
      </c>
      <c r="AA9" s="17">
        <f>iferror(lookup(if(Z9="",G9,Z9),{0,1,4000},{0.0,0.021,0.021}),"")</f>
        <v>0</v>
      </c>
      <c r="AB9" s="17">
        <f>iferror(if(Z9="",G9,Z9)*AA9,"")</f>
        <v>0</v>
      </c>
      <c r="AC9" s="18" t="s">
        <v>177</v>
      </c>
    </row>
    <row r="10" spans="1:39">
      <c r="A10" s="16" t="s">
        <v>23</v>
      </c>
      <c r="B10" s="16" t="s">
        <v>25</v>
      </c>
      <c r="D10" s="16" t="s">
        <v>13</v>
      </c>
      <c r="E10" s="16" t="s">
        <v>12</v>
      </c>
      <c r="F10" s="16" t="s">
        <v>24</v>
      </c>
      <c r="G10" s="16">
        <f>BoardQty*1</f>
        <v>0</v>
      </c>
      <c r="H10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0" s="17">
        <f>iferror(G10*H10,"")</f>
        <v>0</v>
      </c>
      <c r="J10" s="16">
        <v>1432</v>
      </c>
      <c r="N10" s="18" t="s">
        <v>137</v>
      </c>
    </row>
    <row r="11" spans="1:39">
      <c r="A11" s="16" t="s">
        <v>26</v>
      </c>
      <c r="B11" s="16" t="s">
        <v>30</v>
      </c>
      <c r="D11" s="16" t="s">
        <v>29</v>
      </c>
      <c r="E11" s="16" t="s">
        <v>28</v>
      </c>
      <c r="F11" s="16" t="s">
        <v>27</v>
      </c>
      <c r="G11" s="16">
        <f>BoardQty*2</f>
        <v>0</v>
      </c>
      <c r="H11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1" s="17">
        <f>iferror(G11*H11,"")</f>
        <v>0</v>
      </c>
      <c r="J11" s="16">
        <v>6012</v>
      </c>
      <c r="L11" s="17">
        <f>iferror(lookup(if(K11="",G11,K11),{0,1,10,100,500,1000,2000,5000,10000,25000,50000},{0.0,0.67,0.494,0.3391,0.26842,0.20885,0.19656,0.18428,0.17199,0.16585,0.15971}),"")</f>
        <v>0</v>
      </c>
      <c r="M11" s="17">
        <f>iferror(if(K11="",G11,K11)*L11,"")</f>
        <v>0</v>
      </c>
      <c r="N11" s="18" t="s">
        <v>138</v>
      </c>
      <c r="O11" s="16">
        <v>893</v>
      </c>
      <c r="Q11" s="17">
        <f>iferror(lookup(if(P11="",G11,P11),{0,1,10,25,50,100,250},{0.0,0.7673988,0.636552,0.5375328,0.4385136,0.3394944,0.3218124}),"")</f>
        <v>0</v>
      </c>
      <c r="R11" s="17">
        <f>iferror(if(P11="",G11,P11)*Q11,"")</f>
        <v>0</v>
      </c>
      <c r="S11" s="18" t="s">
        <v>156</v>
      </c>
      <c r="Y11" s="16">
        <v>893</v>
      </c>
      <c r="AA11" s="17">
        <f>iferror(lookup(if(Z11="",G11,Z11),{0,1,10,25,50,100,250,500},{0.0,0.75,0.622,0.525,0.428,0.331,0.315,0.298}),"")</f>
        <v>0</v>
      </c>
      <c r="AB11" s="17">
        <f>iferror(if(Z11="",G11,Z11)*AA11,"")</f>
        <v>0</v>
      </c>
      <c r="AC11" s="18" t="s">
        <v>178</v>
      </c>
    </row>
    <row r="12" spans="1:39">
      <c r="A12" s="16" t="s">
        <v>31</v>
      </c>
      <c r="B12" s="16" t="s">
        <v>33</v>
      </c>
      <c r="D12" s="16" t="s">
        <v>13</v>
      </c>
      <c r="E12" s="16" t="s">
        <v>21</v>
      </c>
      <c r="F12" s="16" t="s">
        <v>32</v>
      </c>
      <c r="G12" s="16">
        <f>BoardQty*1</f>
        <v>0</v>
      </c>
      <c r="H12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2" s="17">
        <f>iferror(G12*H12,"")</f>
        <v>0</v>
      </c>
      <c r="J12" s="16">
        <v>12650</v>
      </c>
      <c r="L12" s="17">
        <f>iferror(lookup(if(K12="",G12,K12),{0,1,10,100,500,1000,4000},{0.0,0.41,0.284,0.1608,0.11352,0.09933,0.07608}),"")</f>
        <v>0</v>
      </c>
      <c r="M12" s="17">
        <f>iferror(if(K12="",G12,K12)*L12,"")</f>
        <v>0</v>
      </c>
      <c r="N12" s="18" t="s">
        <v>139</v>
      </c>
    </row>
    <row r="13" spans="1:39">
      <c r="A13" s="16" t="s">
        <v>34</v>
      </c>
      <c r="B13" s="16" t="s">
        <v>38</v>
      </c>
      <c r="D13" s="16" t="s">
        <v>37</v>
      </c>
      <c r="E13" s="16" t="s">
        <v>36</v>
      </c>
      <c r="F13" s="16" t="s">
        <v>35</v>
      </c>
      <c r="G13" s="16">
        <f>BoardQty*2</f>
        <v>0</v>
      </c>
      <c r="H13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3" s="17">
        <f>iferror(G13*H13,"")</f>
        <v>0</v>
      </c>
      <c r="O13" s="16">
        <v>8939</v>
      </c>
      <c r="Q13" s="17">
        <f>iferror(lookup(if(P13="",G13,P13),{0,1,10,100,500,2500,5000,10000,50000},{0.0,0.2451904,0.2451904,0.129668,0.09512916,0.08062992,0.07108164,0.06000092,0.0524566}),"")</f>
        <v>0</v>
      </c>
      <c r="R13" s="17">
        <f>iferror(if(P13="",G13,P13)*Q13,"")</f>
        <v>0</v>
      </c>
      <c r="S13" s="18" t="s">
        <v>157</v>
      </c>
      <c r="Y13" s="16">
        <v>8909</v>
      </c>
      <c r="AA13" s="17">
        <f>iferror(lookup(if(Z13="",G13,Z13),{0,1,10,25,50,100,250,500,1000},{0.0,0.113,0.113,0.099,0.084,0.07,0.066,0.062,0.053}),"")</f>
        <v>0</v>
      </c>
      <c r="AB13" s="17">
        <f>iferror(if(Z13="",G13,Z13)*AA13,"")</f>
        <v>0</v>
      </c>
      <c r="AC13" s="18" t="s">
        <v>179</v>
      </c>
    </row>
    <row r="14" spans="1:39">
      <c r="A14" s="16" t="s">
        <v>39</v>
      </c>
      <c r="B14" s="16" t="s">
        <v>42</v>
      </c>
      <c r="D14" s="16" t="s">
        <v>13</v>
      </c>
      <c r="E14" s="16" t="s">
        <v>41</v>
      </c>
      <c r="F14" s="16" t="s">
        <v>40</v>
      </c>
      <c r="G14" s="16">
        <f>BoardQty*2</f>
        <v>0</v>
      </c>
      <c r="H14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4" s="17">
        <f>iferror(G14*H14,"")</f>
        <v>0</v>
      </c>
      <c r="J14" s="19" t="s">
        <v>141</v>
      </c>
      <c r="L14" s="17">
        <f>iferror(lookup(if(K14="",G14,K14),{0,1,10,100,500,1000,2500,4000,5000,15000},{0.0,0.17,0.12,0.0563,0.03946,0.03267,0.0304,0.02419,0.02782,0.02138}),"")</f>
        <v>0</v>
      </c>
      <c r="M14" s="17">
        <f>iferror(if(K14="",G14,K14)*L14,"")</f>
        <v>0</v>
      </c>
      <c r="N14" s="18" t="s">
        <v>140</v>
      </c>
      <c r="O14" s="19" t="s">
        <v>141</v>
      </c>
      <c r="Q14" s="17">
        <f>iferror(lookup(if(P14="",G14,P14),{0,1,100,500,1000},{0.0,0.085463,0.085463,0.05563936,0.04632684}),"")</f>
        <v>0</v>
      </c>
      <c r="R14" s="17">
        <f>iferror(if(P14="",G14,P14)*Q14,"")</f>
        <v>0</v>
      </c>
      <c r="S14" s="18" t="s">
        <v>158</v>
      </c>
      <c r="T14" s="19" t="s">
        <v>141</v>
      </c>
      <c r="V14" s="17">
        <f>iferror(lookup(if(U14="",G14,U14),{0,1,10,100,500,1000,4000,8000,24000},{0.0,119.0,86.0,4.0,28.0,23.0,16.0,15.0,13.0}),"")</f>
        <v>0</v>
      </c>
      <c r="W14" s="17">
        <f>iferror(if(U14="",G14,U14)*V14,"")</f>
        <v>0</v>
      </c>
      <c r="X14" s="18" t="s">
        <v>173</v>
      </c>
      <c r="Y14" s="19" t="s">
        <v>141</v>
      </c>
      <c r="AA14" s="17">
        <f>iferror(lookup(if(Z14="",G14,Z14),{0,1,4000,8000},{0.0,0.019,0.019,0.018}),"")</f>
        <v>0</v>
      </c>
      <c r="AB14" s="17">
        <f>iferror(if(Z14="",G14,Z14)*AA14,"")</f>
        <v>0</v>
      </c>
      <c r="AC14" s="18" t="s">
        <v>180</v>
      </c>
      <c r="AI14" s="19" t="s">
        <v>141</v>
      </c>
      <c r="AK14" s="17">
        <f>iferror(lookup(if(AJ14="",G14,AJ14),{0,1,100,300,1000,4000},{0.0,0.1441,0.1441,0.08321,0.0595,0.0423}),"")</f>
        <v>0</v>
      </c>
      <c r="AL14" s="17">
        <f>iferror(if(AJ14="",G14,AJ14)*AK14,"")</f>
        <v>0</v>
      </c>
      <c r="AM14" s="18" t="s">
        <v>40</v>
      </c>
    </row>
    <row r="15" spans="1:39">
      <c r="A15" s="16" t="s">
        <v>43</v>
      </c>
      <c r="B15" s="16" t="s">
        <v>45</v>
      </c>
      <c r="D15" s="16" t="s">
        <v>13</v>
      </c>
      <c r="E15" s="16" t="s">
        <v>12</v>
      </c>
      <c r="F15" s="16" t="s">
        <v>44</v>
      </c>
      <c r="G15" s="16">
        <f>BoardQty*2</f>
        <v>0</v>
      </c>
      <c r="H15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5" s="17">
        <f>iferror(G15*H15,"")</f>
        <v>0</v>
      </c>
      <c r="J15" s="16">
        <v>40000</v>
      </c>
      <c r="L15" s="17">
        <f>iferror(lookup(if(K15="",G15,K15),{0,1,10,100,500,1000,4000},{0.0,0.3,0.207,0.1173,0.0828,0.07245,0.0555}),"")</f>
        <v>0</v>
      </c>
      <c r="M15" s="17">
        <f>iferror(if(K15="",G15,K15)*L15,"")</f>
        <v>0</v>
      </c>
      <c r="N15" s="18" t="s">
        <v>142</v>
      </c>
      <c r="O15" s="16">
        <v>10578</v>
      </c>
      <c r="Q15" s="17">
        <f>iferror(lookup(if(P15="",G15,P15),{0,1,10,100,500,1000},{0.0,0.3053092,0.3053092,0.10161256,0.07591472,0.06412672}),"")</f>
        <v>0</v>
      </c>
      <c r="R15" s="17">
        <f>iferror(if(P15="",G15,P15)*Q15,"")</f>
        <v>0</v>
      </c>
      <c r="S15" s="18" t="s">
        <v>159</v>
      </c>
      <c r="Y15" s="16">
        <v>10578</v>
      </c>
      <c r="AA15" s="17">
        <f>iferror(lookup(if(Z15="",G15,Z15),{0,1,10,25,50,100,250,500,1000},{0.0,0.2,0.2,0.158,0.117,0.075,0.071,0.066,0.058}),"")</f>
        <v>0</v>
      </c>
      <c r="AB15" s="17">
        <f>iferror(if(Z15="",G15,Z15)*AA15,"")</f>
        <v>0</v>
      </c>
      <c r="AC15" s="18" t="s">
        <v>181</v>
      </c>
    </row>
    <row r="16" spans="1:39">
      <c r="A16" s="16" t="s">
        <v>46</v>
      </c>
      <c r="B16" s="16" t="s">
        <v>47</v>
      </c>
      <c r="D16" s="16" t="s">
        <v>49</v>
      </c>
      <c r="E16" s="16" t="s">
        <v>48</v>
      </c>
      <c r="F16" s="16" t="s">
        <v>47</v>
      </c>
      <c r="G16" s="16">
        <f>BoardQty*2</f>
        <v>0</v>
      </c>
      <c r="H16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6" s="17">
        <f>iferror(G16*H16,"")</f>
        <v>0</v>
      </c>
      <c r="J16" s="16">
        <v>16914</v>
      </c>
      <c r="L16" s="17">
        <f>iferror(lookup(if(K16="",G16,K16),{0,1,10,25,100,250,500,1000,2500,5000,10000,25000},{0.0,0.46,0.363,0.3056,0.2488,0.20616,0.17062,0.12797,0.11731,0.10722,0.1003,0.09223}),"")</f>
        <v>0</v>
      </c>
      <c r="M16" s="17">
        <f>iferror(if(K16="",G16,K16)*L16,"")</f>
        <v>0</v>
      </c>
      <c r="N16" s="18" t="s">
        <v>143</v>
      </c>
      <c r="O16" s="16">
        <v>5182</v>
      </c>
      <c r="Q16" s="17">
        <f>iferror(lookup(if(P16="",G16,P16),{0,1,100},{0.0,0.1308468,0.1308468}),"")</f>
        <v>0</v>
      </c>
      <c r="R16" s="17">
        <f>iferror(if(P16="",G16,P16)*Q16,"")</f>
        <v>0</v>
      </c>
      <c r="S16" s="18" t="s">
        <v>160</v>
      </c>
      <c r="Y16" s="16">
        <v>4452</v>
      </c>
      <c r="AA16" s="17">
        <f>iferror(lookup(if(Z16="",G16,Z16),{0,1,25,50,100,250,500,1000},{0.0,0.45,0.333,0.287,0.24,0.225,0.209,0.157}),"")</f>
        <v>0</v>
      </c>
      <c r="AB16" s="17">
        <f>iferror(if(Z16="",G16,Z16)*AA16,"")</f>
        <v>0</v>
      </c>
      <c r="AC16" s="18" t="s">
        <v>182</v>
      </c>
      <c r="AI16" s="16">
        <v>11774</v>
      </c>
      <c r="AK16" s="17">
        <f>iferror(lookup(if(AJ16="",G16,AJ16),{0,1,3,10,100,1000},{0.0,0.5346,0.5346,0.3196,0.1743,0.1162}),"")</f>
        <v>0</v>
      </c>
      <c r="AL16" s="17">
        <f>iferror(if(AJ16="",G16,AJ16)*AK16,"")</f>
        <v>0</v>
      </c>
      <c r="AM16" s="18" t="s">
        <v>199</v>
      </c>
    </row>
    <row r="17" spans="1:39">
      <c r="A17" s="16" t="s">
        <v>50</v>
      </c>
      <c r="B17" s="16" t="s">
        <v>52</v>
      </c>
      <c r="D17" s="16" t="s">
        <v>51</v>
      </c>
      <c r="G17" s="16">
        <f>BoardQty*1</f>
        <v>0</v>
      </c>
      <c r="H17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7" s="17">
        <f>iferror(G17*H17,"")</f>
        <v>0</v>
      </c>
    </row>
    <row r="18" spans="1:39">
      <c r="A18" s="16" t="s">
        <v>53</v>
      </c>
      <c r="B18" s="16" t="s">
        <v>57</v>
      </c>
      <c r="D18" s="16" t="s">
        <v>56</v>
      </c>
      <c r="E18" s="16" t="s">
        <v>55</v>
      </c>
      <c r="F18" s="16" t="s">
        <v>54</v>
      </c>
      <c r="G18" s="16">
        <f>BoardQty*1</f>
        <v>0</v>
      </c>
      <c r="H18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8" s="17">
        <f>iferror(G18*H18,"")</f>
        <v>0</v>
      </c>
      <c r="J18" s="16">
        <v>1760</v>
      </c>
      <c r="L18" s="17">
        <f>iferror(lookup(if(K18="",G18,K18),{0,1,10,100,500,1000,2000,3000,5000,10000,25000},{0.0,0.85,0.747,0.6444,0.52722,0.42603,0.39941,0.38609,0.37278,0.35414,0.34615}),"")</f>
        <v>0</v>
      </c>
      <c r="M18" s="17">
        <f>iferror(if(K18="",G18,K18)*L18,"")</f>
        <v>0</v>
      </c>
      <c r="N18" s="18" t="s">
        <v>144</v>
      </c>
      <c r="O18" s="16">
        <v>19829</v>
      </c>
      <c r="Q18" s="17">
        <f>iferror(lookup(if(P18="",G18,P18),{0,1,10,100,500,1000,2500,5000},{0.0,0.7096376,0.7096376,0.6117972,0.50099,0.3795736,0.3666068,0.335958}),"")</f>
        <v>0</v>
      </c>
      <c r="R18" s="17">
        <f>iferror(if(P18="",G18,P18)*Q18,"")</f>
        <v>0</v>
      </c>
      <c r="S18" s="18" t="s">
        <v>161</v>
      </c>
      <c r="Y18" s="16">
        <v>17393</v>
      </c>
      <c r="AA18" s="17">
        <f>iferror(lookup(if(Z18="",G18,Z18),{0,1,10,25,50,100,250,500,1000},{0.0,0.748,0.748,0.66,0.538,0.522,0.451,0.449,0.414}),"")</f>
        <v>0</v>
      </c>
      <c r="AB18" s="17">
        <f>iferror(if(Z18="",G18,Z18)*AA18,"")</f>
        <v>0</v>
      </c>
      <c r="AC18" s="18" t="s">
        <v>183</v>
      </c>
      <c r="AD18" s="16">
        <v>85</v>
      </c>
      <c r="AF18" s="17">
        <f>iferror(lookup(if(AE18="",G18,AE18),{0,1,5,125,500,2500,5000},{0.0,0.9336096,0.9336096,0.7709352,0.6082608,0.5941152,0.5681816}),"")</f>
        <v>0</v>
      </c>
      <c r="AG18" s="17">
        <f>iferror(if(AE18="",G18,AE18)*AF18,"")</f>
        <v>0</v>
      </c>
      <c r="AH18" s="18" t="s">
        <v>195</v>
      </c>
    </row>
    <row r="19" spans="1:39">
      <c r="A19" s="16" t="s">
        <v>58</v>
      </c>
      <c r="B19" s="16" t="s">
        <v>59</v>
      </c>
      <c r="C19" s="16" t="s">
        <v>62</v>
      </c>
      <c r="D19" s="16" t="s">
        <v>61</v>
      </c>
      <c r="E19" s="16" t="s">
        <v>60</v>
      </c>
      <c r="F19" s="16" t="s">
        <v>59</v>
      </c>
      <c r="G19" s="16">
        <f>BoardQty*1</f>
        <v>0</v>
      </c>
      <c r="H19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19" s="17">
        <f>iferror(G19*H19,"")</f>
        <v>0</v>
      </c>
      <c r="J19" s="16">
        <v>96</v>
      </c>
      <c r="L19" s="17">
        <f>iferror(lookup(if(K19="",G19,K19),{0,1,10,25,50,150,300,750,1050,1500,3750},{0.0,2.98,2.863,2.6244,2.505,2.1688,1.8977,1.68083,1.57238,1.51816,1.46394}),"")</f>
        <v>0</v>
      </c>
      <c r="M19" s="17">
        <f>iferror(if(K19="",G19,K19)*L19,"")</f>
        <v>0</v>
      </c>
      <c r="N19" s="18" t="s">
        <v>145</v>
      </c>
      <c r="O19" s="19" t="s">
        <v>141</v>
      </c>
      <c r="Q19" s="17">
        <f>iferror(lookup(if(P19="",G19,P19),{0,1,10,50,100,150,250},{0.0,4.668048,4.137588,3.960768,3.760372,3.442096,2.994152}),"")</f>
        <v>0</v>
      </c>
      <c r="R19" s="17">
        <f>iferror(if(P19="",G19,P19)*Q19,"")</f>
        <v>0</v>
      </c>
      <c r="S19" s="18" t="s">
        <v>162</v>
      </c>
      <c r="Y19" s="19" t="s">
        <v>141</v>
      </c>
      <c r="AA19" s="17">
        <f>iferror(lookup(if(Z19="",G19,Z19),{0,1,10,25,50,100},{0.0,3.04,2.93,2.56,2.5,2.45}),"")</f>
        <v>0</v>
      </c>
      <c r="AB19" s="17">
        <f>iferror(if(Z19="",G19,Z19)*AA19,"")</f>
        <v>0</v>
      </c>
      <c r="AC19" s="18" t="s">
        <v>184</v>
      </c>
      <c r="AD19" s="19" t="s">
        <v>141</v>
      </c>
      <c r="AH19" s="18" t="s">
        <v>196</v>
      </c>
    </row>
    <row r="20" spans="1:39">
      <c r="A20" s="16" t="s">
        <v>63</v>
      </c>
      <c r="B20" s="16" t="s">
        <v>65</v>
      </c>
      <c r="D20" s="16" t="s">
        <v>64</v>
      </c>
      <c r="G20" s="16">
        <f>BoardQty*1</f>
        <v>0</v>
      </c>
      <c r="H20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0" s="17">
        <f>iferror(G20*H20,"")</f>
        <v>0</v>
      </c>
    </row>
    <row r="21" spans="1:39">
      <c r="A21" s="16" t="s">
        <v>66</v>
      </c>
      <c r="B21" s="16" t="s">
        <v>69</v>
      </c>
      <c r="D21" s="16" t="s">
        <v>68</v>
      </c>
      <c r="E21" s="16" t="s">
        <v>67</v>
      </c>
      <c r="F21" s="16" t="s">
        <v>67</v>
      </c>
      <c r="G21" s="16">
        <f>BoardQty*4</f>
        <v>0</v>
      </c>
      <c r="H21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1" s="17">
        <f>iferror(G21*H21,"")</f>
        <v>0</v>
      </c>
    </row>
    <row r="22" spans="1:39">
      <c r="A22" s="16" t="s">
        <v>70</v>
      </c>
      <c r="B22" s="16" t="s">
        <v>74</v>
      </c>
      <c r="D22" s="16" t="s">
        <v>73</v>
      </c>
      <c r="E22" s="16" t="s">
        <v>72</v>
      </c>
      <c r="F22" s="16" t="s">
        <v>71</v>
      </c>
      <c r="G22" s="16">
        <f>BoardQty*1</f>
        <v>0</v>
      </c>
      <c r="H22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2" s="17">
        <f>iferror(G22*H22,"")</f>
        <v>0</v>
      </c>
      <c r="O22" s="16">
        <v>6809</v>
      </c>
      <c r="Q22" s="17">
        <f>iferror(lookup(if(P22="",G22,P22),{0,1,250,500},{0.0,1.0514896,0.8263388,0.5316388}),"")</f>
        <v>0</v>
      </c>
      <c r="R22" s="17">
        <f>iferror(if(P22="",G22,P22)*Q22,"")</f>
        <v>0</v>
      </c>
      <c r="S22" s="18" t="s">
        <v>163</v>
      </c>
    </row>
    <row r="23" spans="1:39">
      <c r="A23" s="16" t="s">
        <v>75</v>
      </c>
      <c r="B23" s="16" t="s">
        <v>79</v>
      </c>
      <c r="D23" s="16" t="s">
        <v>78</v>
      </c>
      <c r="E23" s="16" t="s">
        <v>77</v>
      </c>
      <c r="F23" s="16" t="s">
        <v>76</v>
      </c>
      <c r="G23" s="16">
        <f>BoardQty*1</f>
        <v>0</v>
      </c>
      <c r="H23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3" s="17">
        <f>iferror(G23*H23,"")</f>
        <v>0</v>
      </c>
      <c r="J23" s="19" t="s">
        <v>141</v>
      </c>
      <c r="L23" s="17">
        <f>iferror(lookup(if(K23="",G23,K23),{0,1,10,100,1000,2500,5000,10000,30000,50000,100000},{0.0,0.1,0.026,0.0104,0.00466,0.00405,0.00334,0.00264,0.00232,0.00213,0.00208}),"")</f>
        <v>0</v>
      </c>
      <c r="M23" s="17">
        <f>iferror(if(K23="",G23,K23)*L23,"")</f>
        <v>0</v>
      </c>
      <c r="N23" s="18" t="s">
        <v>146</v>
      </c>
      <c r="Y23" s="19" t="s">
        <v>141</v>
      </c>
      <c r="AA23" s="17">
        <f>iferror(lookup(if(Z23="",G23,Z23),{0,1,10000},{0.0,0.005,0.005}),"")</f>
        <v>0</v>
      </c>
      <c r="AB23" s="17">
        <f>iferror(if(Z23="",G23,Z23)*AA23,"")</f>
        <v>0</v>
      </c>
      <c r="AC23" s="18" t="s">
        <v>185</v>
      </c>
    </row>
    <row r="24" spans="1:39">
      <c r="A24" s="16" t="s">
        <v>80</v>
      </c>
      <c r="B24" s="16" t="s">
        <v>83</v>
      </c>
      <c r="D24" s="16" t="s">
        <v>78</v>
      </c>
      <c r="E24" s="16" t="s">
        <v>82</v>
      </c>
      <c r="F24" s="16" t="s">
        <v>81</v>
      </c>
      <c r="G24" s="16">
        <f>BoardQty*1</f>
        <v>0</v>
      </c>
      <c r="H24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4" s="17">
        <f>iferror(G24*H24,"")</f>
        <v>0</v>
      </c>
      <c r="J24" s="19" t="s">
        <v>141</v>
      </c>
      <c r="L24" s="17">
        <f>iferror(lookup(if(K24="",G24,K24),{0,1,10,100,1000,2500,5000,10000,30000,50000,100000},{0.0,0.1,0.056,0.0227,0.01021,0.00886,0.00732,0.00578,0.00508,0.00466,0.00456}),"")</f>
        <v>0</v>
      </c>
      <c r="M24" s="17">
        <f>iferror(if(K24="",G24,K24)*L24,"")</f>
        <v>0</v>
      </c>
      <c r="N24" s="18" t="s">
        <v>147</v>
      </c>
      <c r="O24" s="16">
        <v>45756</v>
      </c>
      <c r="Q24" s="17">
        <f>iferror(lookup(if(P24="",G24,P24),{0,1,100,500,2500},{0.0,0.01921444,0.01921444,0.0153244,0.01202376}),"")</f>
        <v>0</v>
      </c>
      <c r="R24" s="17">
        <f>iferror(if(P24="",G24,P24)*Q24,"")</f>
        <v>0</v>
      </c>
      <c r="S24" s="18" t="s">
        <v>164</v>
      </c>
      <c r="AD24" s="16">
        <v>23</v>
      </c>
      <c r="AH24" s="18" t="s">
        <v>197</v>
      </c>
    </row>
    <row r="25" spans="1:39">
      <c r="A25" s="16" t="s">
        <v>84</v>
      </c>
      <c r="B25" s="16" t="s">
        <v>87</v>
      </c>
      <c r="D25" s="16" t="s">
        <v>78</v>
      </c>
      <c r="E25" s="16" t="s">
        <v>86</v>
      </c>
      <c r="F25" s="16" t="s">
        <v>85</v>
      </c>
      <c r="G25" s="16">
        <f>BoardQty*2</f>
        <v>0</v>
      </c>
      <c r="H25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5" s="17">
        <f>iferror(G25*H25,"")</f>
        <v>0</v>
      </c>
      <c r="O25" s="16">
        <v>3024</v>
      </c>
      <c r="Q25" s="17">
        <f>iferror(lookup(if(P25="",G25,P25),{0,1,100,500,2500,5000},{0.0,0.00318276,0.00318276,0.00223972,0.0017682,0.00141456}),"")</f>
        <v>0</v>
      </c>
      <c r="R25" s="17">
        <f>iferror(if(P25="",G25,P25)*Q25,"")</f>
        <v>0</v>
      </c>
      <c r="S25" s="18" t="s">
        <v>165</v>
      </c>
      <c r="Y25" s="16">
        <v>3134</v>
      </c>
      <c r="AA25" s="17">
        <f>iferror(lookup(if(Z25="",G25,Z25),{0,1,10,100,1000},{0.0,0.016,0.016,0.013,0.009}),"")</f>
        <v>0</v>
      </c>
      <c r="AB25" s="17">
        <f>iferror(if(Z25="",G25,Z25)*AA25,"")</f>
        <v>0</v>
      </c>
      <c r="AC25" s="18" t="s">
        <v>186</v>
      </c>
    </row>
    <row r="26" spans="1:39">
      <c r="A26" s="16" t="s">
        <v>88</v>
      </c>
      <c r="B26" s="16" t="s">
        <v>90</v>
      </c>
      <c r="D26" s="16" t="s">
        <v>78</v>
      </c>
      <c r="E26" s="16" t="s">
        <v>86</v>
      </c>
      <c r="F26" s="16" t="s">
        <v>89</v>
      </c>
      <c r="G26" s="16">
        <f>BoardQty*1</f>
        <v>0</v>
      </c>
      <c r="H26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6" s="17">
        <f>iferror(G26*H26,"")</f>
        <v>0</v>
      </c>
      <c r="O26" s="16">
        <v>9540</v>
      </c>
      <c r="Q26" s="17">
        <f>iferror(lookup(if(P26="",G26,P26),{0,1,100,500,2500,5000,10000,50000},{0.0,0.0064834,0.0064834,0.00554036,0.00389004,0.00318276,0.00259336,0.00200396}),"")</f>
        <v>0</v>
      </c>
      <c r="R26" s="17">
        <f>iferror(if(P26="",G26,P26)*Q26,"")</f>
        <v>0</v>
      </c>
      <c r="S26" s="18" t="s">
        <v>166</v>
      </c>
      <c r="Y26" s="16">
        <v>9040</v>
      </c>
      <c r="AA26" s="17">
        <f>iferror(lookup(if(Z26="",G26,Z26),{0,1,10,25,50},{0.0,0.015,0.015,0.012,0.01}),"")</f>
        <v>0</v>
      </c>
      <c r="AB26" s="17">
        <f>iferror(if(Z26="",G26,Z26)*AA26,"")</f>
        <v>0</v>
      </c>
      <c r="AC26" s="18" t="s">
        <v>187</v>
      </c>
    </row>
    <row r="27" spans="1:39">
      <c r="A27" s="16" t="s">
        <v>91</v>
      </c>
      <c r="B27" s="16" t="s">
        <v>94</v>
      </c>
      <c r="D27" s="16" t="s">
        <v>78</v>
      </c>
      <c r="E27" s="16" t="s">
        <v>93</v>
      </c>
      <c r="F27" s="16" t="s">
        <v>92</v>
      </c>
      <c r="G27" s="16">
        <f>BoardQty*2</f>
        <v>0</v>
      </c>
      <c r="H27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7" s="17">
        <f>iferror(G27*H27,"")</f>
        <v>0</v>
      </c>
      <c r="J27" s="19" t="s">
        <v>141</v>
      </c>
      <c r="L27" s="17">
        <f>iferror(lookup(if(K27="",G27,K27),{0,1,10,100,1000,2500,5000,10000,25000,50000,125000},{0.0,0.1,0.026,0.0107,0.00478,0.00415,0.00312,0.00271,0.00238,0.00219,0.00214}),"")</f>
        <v>0</v>
      </c>
      <c r="M27" s="17">
        <f>iferror(if(K27="",G27,K27)*L27,"")</f>
        <v>0</v>
      </c>
      <c r="N27" s="18" t="s">
        <v>148</v>
      </c>
      <c r="O27" s="16">
        <v>78105</v>
      </c>
      <c r="Q27" s="17">
        <f>iferror(lookup(if(P27="",G27,P27),{0,1,10,100,500,1000},{0.0,0.01379196,0.01379196,0.01190588,0.0106092,0.00907676}),"")</f>
        <v>0</v>
      </c>
      <c r="R27" s="17">
        <f>iferror(if(P27="",G27,P27)*Q27,"")</f>
        <v>0</v>
      </c>
      <c r="S27" s="18" t="s">
        <v>167</v>
      </c>
      <c r="Y27" s="16">
        <v>126215</v>
      </c>
      <c r="AA27" s="17">
        <f>iferror(lookup(if(Z27="",G27,Z27),{0,1,10,25,50,100},{0.0,0.115,0.115,0.01,0.007,0.003}),"")</f>
        <v>0</v>
      </c>
      <c r="AB27" s="17">
        <f>iferror(if(Z27="",G27,Z27)*AA27,"")</f>
        <v>0</v>
      </c>
      <c r="AC27" s="18" t="s">
        <v>188</v>
      </c>
      <c r="AI27" s="19" t="s">
        <v>141</v>
      </c>
      <c r="AK27" s="17">
        <f>iferror(lookup(if(AJ27="",G27,AJ27),{0,1,100,1000,5000,15000,50000},{0.0,0.0352,0.0352,0.01267,0.00513,0.00433,0.00369}),"")</f>
        <v>0</v>
      </c>
      <c r="AL27" s="17">
        <f>iferror(if(AJ27="",G27,AJ27)*AK27,"")</f>
        <v>0</v>
      </c>
      <c r="AM27" s="18" t="s">
        <v>200</v>
      </c>
    </row>
    <row r="28" spans="1:39">
      <c r="A28" s="16" t="s">
        <v>95</v>
      </c>
      <c r="B28" s="16" t="s">
        <v>96</v>
      </c>
      <c r="D28" s="16" t="s">
        <v>78</v>
      </c>
      <c r="G28" s="16">
        <f>BoardQty*1</f>
        <v>0</v>
      </c>
      <c r="H28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8" s="17">
        <f>iferror(G28*H28,"")</f>
        <v>0</v>
      </c>
    </row>
    <row r="29" spans="1:39">
      <c r="A29" s="16" t="s">
        <v>97</v>
      </c>
      <c r="B29" s="16" t="s">
        <v>101</v>
      </c>
      <c r="D29" s="16" t="s">
        <v>100</v>
      </c>
      <c r="E29" s="16" t="s">
        <v>99</v>
      </c>
      <c r="F29" s="16" t="s">
        <v>98</v>
      </c>
      <c r="G29" s="16">
        <f>BoardQty*1</f>
        <v>0</v>
      </c>
      <c r="H29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29" s="17">
        <f>iferror(G29*H29,"")</f>
        <v>0</v>
      </c>
      <c r="J29" s="16">
        <v>2130</v>
      </c>
      <c r="L29" s="17">
        <f>iferror(lookup(if(K29="",G29,K29),{0,1,10,100,250,500,1000,1250,3000,6000,15000},{0.0,1.58,1.416,1.104,1.074,0.91196,0.71997,0.77865,0.6524,0.61978,0.59648}),"")</f>
        <v>0</v>
      </c>
      <c r="M29" s="17">
        <f>iferror(if(K29="",G29,K29)*L29,"")</f>
        <v>0</v>
      </c>
      <c r="N29" s="18" t="s">
        <v>149</v>
      </c>
      <c r="O29" s="16">
        <v>1132</v>
      </c>
      <c r="Q29" s="17">
        <f>iferror(lookup(if(P29="",G29,P29),{0,1,250,500,750},{0.0,1.113966,1.113966,0.97251,0.7508956}),"")</f>
        <v>0</v>
      </c>
      <c r="R29" s="17">
        <f>iferror(if(P29="",G29,P29)*Q29,"")</f>
        <v>0</v>
      </c>
      <c r="S29" s="18" t="s">
        <v>168</v>
      </c>
      <c r="Y29" s="19" t="s">
        <v>141</v>
      </c>
      <c r="AA29" s="17">
        <f>iferror(lookup(if(Z29="",G29,Z29),{0,1,250,500,1000,1500,2500},{0.0,1.01,1.01,0.94,0.779,0.752,0.725}),"")</f>
        <v>0</v>
      </c>
      <c r="AB29" s="17">
        <f>iferror(if(Z29="",G29,Z29)*AA29,"")</f>
        <v>0</v>
      </c>
      <c r="AC29" s="18" t="s">
        <v>189</v>
      </c>
    </row>
    <row r="30" spans="1:39">
      <c r="A30" s="16" t="s">
        <v>102</v>
      </c>
      <c r="B30" s="16" t="s">
        <v>106</v>
      </c>
      <c r="D30" s="16" t="s">
        <v>105</v>
      </c>
      <c r="E30" s="16" t="s">
        <v>104</v>
      </c>
      <c r="F30" s="16" t="s">
        <v>103</v>
      </c>
      <c r="G30" s="16">
        <f>BoardQty*1</f>
        <v>0</v>
      </c>
      <c r="H30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30" s="17">
        <f>iferror(G30*H30,"")</f>
        <v>0</v>
      </c>
      <c r="J30" s="16">
        <v>8968</v>
      </c>
      <c r="L30" s="17">
        <f>iferror(lookup(if(K30="",G30,K30),{0,1,10,100,2000},{0.0,2.97,2.666,2.184,1.4896}),"")</f>
        <v>0</v>
      </c>
      <c r="M30" s="17">
        <f>iferror(if(K30="",G30,K30)*L30,"")</f>
        <v>0</v>
      </c>
      <c r="N30" s="18" t="s">
        <v>150</v>
      </c>
      <c r="O30" s="16">
        <v>204</v>
      </c>
      <c r="Q30" s="17">
        <f>iferror(lookup(if(P30="",G30,P30),{0,1,10,25,50,100,250,500,1000},{0.0,3.06488,2.569784,2.428328,2.263296,2.251508,2.23972,2.192568,2.157204}),"")</f>
        <v>0</v>
      </c>
      <c r="R30" s="17">
        <f>iferror(if(P30="",G30,P30)*Q30,"")</f>
        <v>0</v>
      </c>
      <c r="S30" s="18" t="s">
        <v>169</v>
      </c>
      <c r="Y30" s="16">
        <v>204</v>
      </c>
      <c r="AA30" s="17">
        <f>iferror(lookup(if(Z30="",G30,Z30),{0,1,10,25,50,100,250},{0.0,2.7,2.42,2.13,2.06,1.99,1.96}),"")</f>
        <v>0</v>
      </c>
      <c r="AB30" s="17">
        <f>iferror(if(Z30="",G30,Z30)*AA30,"")</f>
        <v>0</v>
      </c>
      <c r="AC30" s="18" t="s">
        <v>190</v>
      </c>
    </row>
    <row r="31" spans="1:39">
      <c r="A31" s="16" t="s">
        <v>107</v>
      </c>
      <c r="B31" s="16" t="s">
        <v>110</v>
      </c>
      <c r="D31" s="16" t="s">
        <v>109</v>
      </c>
      <c r="E31" s="16" t="s">
        <v>99</v>
      </c>
      <c r="F31" s="16" t="s">
        <v>108</v>
      </c>
      <c r="G31" s="16">
        <f>BoardQty*1</f>
        <v>0</v>
      </c>
      <c r="H31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31" s="17">
        <f>iferror(G31*H31,"")</f>
        <v>0</v>
      </c>
      <c r="J31" s="16">
        <v>1617</v>
      </c>
      <c r="L31" s="17">
        <f>iferror(lookup(if(K31="",G31,K31),{0,1,10,100,500,1000,2000},{0.0,4.31,3.87,3.1707,2.69916,2.2764,1.80215}),"")</f>
        <v>0</v>
      </c>
      <c r="M31" s="17">
        <f>iferror(if(K31="",G31,K31)*L31,"")</f>
        <v>0</v>
      </c>
      <c r="N31" s="18" t="s">
        <v>151</v>
      </c>
      <c r="Y31" s="19" t="s">
        <v>141</v>
      </c>
      <c r="AA31" s="17">
        <f>iferror(lookup(if(Z31="",G31,Z31),{0,1,2000},{0.0,2.33,2.33}),"")</f>
        <v>0</v>
      </c>
      <c r="AB31" s="17">
        <f>iferror(if(Z31="",G31,Z31)*AA31,"")</f>
        <v>0</v>
      </c>
      <c r="AC31" s="18" t="s">
        <v>191</v>
      </c>
    </row>
    <row r="32" spans="1:39">
      <c r="A32" s="16" t="s">
        <v>111</v>
      </c>
      <c r="B32" s="16" t="s">
        <v>114</v>
      </c>
      <c r="D32" s="16" t="s">
        <v>113</v>
      </c>
      <c r="E32" s="16" t="s">
        <v>99</v>
      </c>
      <c r="F32" s="16" t="s">
        <v>112</v>
      </c>
      <c r="G32" s="16">
        <f>BoardQty*1</f>
        <v>0</v>
      </c>
      <c r="H32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32" s="17">
        <f>iferror(G32*H32,"")</f>
        <v>0</v>
      </c>
      <c r="J32" s="16">
        <v>26508</v>
      </c>
      <c r="L32" s="17">
        <f>iferror(lookup(if(K32="",G32,K32),{0,1,10,100,500,1000,2500,5000},{0.0,2.65,2.377,1.9109,1.56998,1.30084,1.17585,1.1323}),"")</f>
        <v>0</v>
      </c>
      <c r="M32" s="17">
        <f>iferror(if(K32="",G32,K32)*L32,"")</f>
        <v>0</v>
      </c>
      <c r="N32" s="18" t="s">
        <v>152</v>
      </c>
      <c r="O32" s="19" t="s">
        <v>141</v>
      </c>
      <c r="Q32" s="17">
        <f>iferror(lookup(if(P32="",G32,P32),{0,1,2500},{0.0,1.0939264,1.0939264}),"")</f>
        <v>0</v>
      </c>
      <c r="R32" s="17">
        <f>iferror(if(P32="",G32,P32)*Q32,"")</f>
        <v>0</v>
      </c>
      <c r="S32" s="18" t="s">
        <v>170</v>
      </c>
      <c r="Y32" s="16">
        <v>197</v>
      </c>
      <c r="AA32" s="17">
        <f>iferror(lookup(if(Z32="",G32,Z32),{0,1,10,25,50,100,250,500,1000},{0.0,3.18,2.81,2.57,2.33,2.02,1.6,1.52,1.43}),"")</f>
        <v>0</v>
      </c>
      <c r="AB32" s="17">
        <f>iferror(if(Z32="",G32,Z32)*AA32,"")</f>
        <v>0</v>
      </c>
      <c r="AC32" s="18" t="s">
        <v>192</v>
      </c>
    </row>
    <row r="33" spans="1:38">
      <c r="A33" s="16" t="s">
        <v>115</v>
      </c>
      <c r="B33" s="16" t="s">
        <v>119</v>
      </c>
      <c r="D33" s="16" t="s">
        <v>118</v>
      </c>
      <c r="E33" s="16" t="s">
        <v>117</v>
      </c>
      <c r="F33" s="16" t="s">
        <v>116</v>
      </c>
      <c r="G33" s="16">
        <f>BoardQty*1</f>
        <v>0</v>
      </c>
      <c r="H33" s="17">
        <f>MINA(INDIRECT(ADDRESS(ROW(),COLUMN(newark_part_data)+2)),INDIRECT(ADDRESS(ROW(),COLUMN(tme_part_data)+2)),INDIRECT(ADDRESS(ROW(),COLUMN(rs_part_data)+2)),INDIRECT(ADDRESS(ROW(),COLUMN(digikey_part_data)+2)),INDIRECT(ADDRESS(ROW(),COLUMN(farnell_part_data)+2)),INDIRECT(ADDRESS(ROW(),COLUMN(mouser_part_data)+2)))</f>
        <v>0</v>
      </c>
      <c r="I33" s="17">
        <f>iferror(G33*H33,"")</f>
        <v>0</v>
      </c>
      <c r="O33" s="16">
        <v>2788</v>
      </c>
      <c r="Q33" s="17">
        <f>iferror(lookup(if(P33="",G33,P33),{0,1,50,100,250,500},{0.0,1.921444,1.82714,1.685684,1.485288,0.9949072}),"")</f>
        <v>0</v>
      </c>
      <c r="R33" s="17">
        <f>iferror(if(P33="",G33,P33)*Q33,"")</f>
        <v>0</v>
      </c>
      <c r="S33" s="18" t="s">
        <v>171</v>
      </c>
      <c r="Y33" s="19" t="s">
        <v>141</v>
      </c>
      <c r="AC33" s="18" t="s">
        <v>193</v>
      </c>
    </row>
    <row r="35" spans="1:38">
      <c r="A35" s="3" t="s">
        <v>201</v>
      </c>
      <c r="K35" s="7">
        <f>IFERROR(IF(OR(K7:K33),COUNTIF(K7:K33,"&gt;0")&amp;" of "&amp;ROWS(K7:K33)&amp;" parts purchased",""),"")</f>
        <v>0</v>
      </c>
      <c r="P35" s="7">
        <f>IFERROR(IF(OR(P7:P33),COUNTIF(P7:P33,"&gt;0")&amp;" of "&amp;ROWS(P7:P33)&amp;" parts purchased",""),"")</f>
        <v>0</v>
      </c>
      <c r="U35" s="7">
        <f>IFERROR(IF(OR(U7:U33),COUNTIF(U7:U33,"&gt;0")&amp;" of "&amp;ROWS(U7:U33)&amp;" parts purchased",""),"")</f>
        <v>0</v>
      </c>
      <c r="Z35" s="7">
        <f>IFERROR(IF(OR(Z7:Z33),COUNTIF(Z7:Z33,"&gt;0")&amp;" of "&amp;ROWS(Z7:Z33)&amp;" parts purchased",""),"")</f>
        <v>0</v>
      </c>
      <c r="AE35" s="7">
        <f>IFERROR(IF(OR(AE7:AE33),COUNTIF(AE7:AE33,"&gt;0")&amp;" of "&amp;ROWS(AE7:AE33)&amp;" parts purchased",""),"")</f>
        <v>0</v>
      </c>
      <c r="AJ35" s="7">
        <f>IFERROR(IF(OR(AJ7:AJ33),COUNTIF(AJ7:AJ33,"&gt;0")&amp;" of "&amp;ROWS(AJ7:AJ33)&amp;" parts purchased",""),"")</f>
        <v>0</v>
      </c>
    </row>
    <row r="36" spans="1:38">
      <c r="K36">
        <f t="array" ref="K36">IFERROR(CONCATENATE(TEXT(INDEX($K$7:$K$33,SMALL(IF($N$7:$N$33&lt;&gt;"",IF($K$7:$K$33&lt;&gt;"",ROW($K$7:$K$33)-MIN(ROW($K$7:$K$33))+1,""),""),ROW()-ROW(A$36)+1)),"##0"),","),"")</f>
        <v>0</v>
      </c>
      <c r="L36">
        <f t="array" ref="L36">IFERROR(CONCATENATE((INDEX($N$7:$N$33,SMALL(IF($N$7:$N$33&lt;&gt;"",IF($K$7:$K$33&lt;&gt;"",ROW($K$7:$K$33)-MIN(ROW($K$7:$K$33))+1,""),""),ROW()-ROW(A$36)+1))),","),"")</f>
        <v>0</v>
      </c>
      <c r="M36">
        <f t="array" ref="M36">IFERROR(CONCATENATE((INDEX($A$7:$A$33,SMALL(IF($N$7:$N$33&lt;&gt;"",IF($K$7:$K$33&lt;&gt;"",ROW($K$7:$K$33)-MIN(ROW($K$7:$K$33))+1,""),""),ROW()-ROW(A$36)+1))),),"")</f>
        <v>0</v>
      </c>
      <c r="P36">
        <f t="array" ref="P36">IFERROR(CONCATENATE((INDEX($S$7:$S$33,SMALL(IF($S$7:$S$33&lt;&gt;"",IF($P$7:$P$33&lt;&gt;"",ROW($P$7:$P$33)-MIN(ROW($P$7:$P$33))+1,""),""),ROW()-ROW(A$36)+1)))," "),"")</f>
        <v>0</v>
      </c>
      <c r="Q36">
        <f t="array" ref="Q36">IFERROR(CONCATENATE(TEXT(INDEX($P$7:$P$33,SMALL(IF($S$7:$S$33&lt;&gt;"",IF($P$7:$P$33&lt;&gt;"",ROW($P$7:$P$33)-MIN(ROW($P$7:$P$33))+1,""),""),ROW()-ROW(A$36)+1)),"##0")," "),"")</f>
        <v>0</v>
      </c>
      <c r="R36">
        <f t="array" ref="R36">IFERROR(CONCATENATE((INDEX($A$7:$A$33,SMALL(IF($S$7:$S$33&lt;&gt;"",IF($P$7:$P$33&lt;&gt;"",ROW($P$7:$P$33)-MIN(ROW($P$7:$P$33))+1,""),""),ROW()-ROW(A$36)+1))),),"")</f>
        <v>0</v>
      </c>
      <c r="U36">
        <f t="array" ref="U36">IFERROR(CONCATENATE((INDEX($X$7:$X$33,SMALL(IF($X$7:$X$33&lt;&gt;"",IF($U$7:$U$33&lt;&gt;"",ROW($U$7:$U$33)-MIN(ROW($U$7:$U$33))+1,""),""),ROW()-ROW(A$36)+1)))," "),"")</f>
        <v>0</v>
      </c>
      <c r="V36">
        <f t="array" ref="V36">IFERROR(CONCATENATE(TEXT(INDEX($U$7:$U$33,SMALL(IF($X$7:$X$33&lt;&gt;"",IF($U$7:$U$33&lt;&gt;"",ROW($U$7:$U$33)-MIN(ROW($U$7:$U$33))+1,""),""),ROW()-ROW(A$36)+1)),"##0")," "),"")</f>
        <v>0</v>
      </c>
      <c r="W36">
        <f t="array" ref="W36">IFERROR(CONCATENATE((INDEX($A$7:$A$33,SMALL(IF($X$7:$X$33&lt;&gt;"",IF($U$7:$U$33&lt;&gt;"",ROW($U$7:$U$33)-MIN(ROW($U$7:$U$33))+1,""),""),ROW()-ROW(A$36)+1))),),"")</f>
        <v>0</v>
      </c>
      <c r="Z36">
        <f t="array" ref="Z36">IFERROR(CONCATENATE((INDEX($AC$7:$AC$33,SMALL(IF($AC$7:$AC$33&lt;&gt;"",IF($Z$7:$Z$33&lt;&gt;"",ROW($Z$7:$Z$33)-MIN(ROW($Z$7:$Z$33))+1,""),""),ROW()-ROW(A$36)+1))),","),"")</f>
        <v>0</v>
      </c>
      <c r="AA36">
        <f t="array" ref="AA36">IFERROR(CONCATENATE(TEXT(INDEX($Z$7:$Z$33,SMALL(IF($AC$7:$AC$33&lt;&gt;"",IF($Z$7:$Z$33&lt;&gt;"",ROW($Z$7:$Z$33)-MIN(ROW($Z$7:$Z$33))+1,""),""),ROW()-ROW(A$36)+1)),"##0"),","),"")</f>
        <v>0</v>
      </c>
      <c r="AB36">
        <f t="array" ref="AB36">IFERROR(CONCATENATE((INDEX($A$7:$A$33,SMALL(IF($AC$7:$AC$33&lt;&gt;"",IF($Z$7:$Z$33&lt;&gt;"",ROW($Z$7:$Z$33)-MIN(ROW($Z$7:$Z$33))+1,""),""),ROW()-ROW(A$36)+1))),),"")</f>
        <v>0</v>
      </c>
      <c r="AE36">
        <f t="array" ref="AE36">IFERROR(CONCATENATE((INDEX($AH$7:$AH$33,SMALL(IF($AH$7:$AH$33&lt;&gt;"",IF($AE$7:$AE$33&lt;&gt;"",ROW($AE$7:$AE$33)-MIN(ROW($AE$7:$AE$33))+1,""),""),ROW()-ROW(A$36)+1)))," "),"")</f>
        <v>0</v>
      </c>
      <c r="AF36">
        <f t="array" ref="AF36">IFERROR(CONCATENATE(TEXT(INDEX($AE$7:$AE$33,SMALL(IF($AH$7:$AH$33&lt;&gt;"",IF($AE$7:$AE$33&lt;&gt;"",ROW($AE$7:$AE$33)-MIN(ROW($AE$7:$AE$33))+1,""),""),ROW()-ROW(A$36)+1)),"##0")," "),"")</f>
        <v>0</v>
      </c>
      <c r="AG36">
        <f t="array" ref="AG36">IFERROR(CONCATENATE((INDEX($A$7:$A$33,SMALL(IF($AH$7:$AH$33&lt;&gt;"",IF($AE$7:$AE$33&lt;&gt;"",ROW($AE$7:$AE$33)-MIN(ROW($AE$7:$AE$33))+1,""),""),ROW()-ROW(A$36)+1))),),"")</f>
        <v>0</v>
      </c>
      <c r="AJ36">
        <f t="array" ref="AJ36">IFERROR(CONCATENATE((INDEX($AM$7:$AM$33,SMALL(IF($AM$7:$AM$33&lt;&gt;"",IF($AJ$7:$AJ$33&lt;&gt;"",ROW($AJ$7:$AJ$33)-MIN(ROW($AJ$7:$AJ$33))+1,""),""),ROW()-ROW(A$36)+1)))," "),"")</f>
        <v>0</v>
      </c>
      <c r="AK36">
        <f t="array" ref="AK36">IFERROR(CONCATENATE(TEXT(INDEX($AJ$7:$AJ$33,SMALL(IF($AM$7:$AM$33&lt;&gt;"",IF($AJ$7:$AJ$33&lt;&gt;"",ROW($AJ$7:$AJ$33)-MIN(ROW($AJ$7:$AJ$33))+1,""),""),ROW()-ROW(A$36)+1)),"##0")," "),"")</f>
        <v>0</v>
      </c>
      <c r="AL36">
        <f t="array" ref="AL36">IFERROR(CONCATENATE((INDEX($A$7:$A$33,SMALL(IF($AM$7:$AM$33&lt;&gt;"",IF($AJ$7:$AJ$33&lt;&gt;"",ROW($AJ$7:$AJ$33)-MIN(ROW($AJ$7:$AJ$33))+1,""),""),ROW()-ROW(A$36)+1))),),"")</f>
        <v>0</v>
      </c>
    </row>
    <row r="37" spans="1:38">
      <c r="K37">
        <f t="array" ref="K37">IFERROR(CONCATENATE(TEXT(INDEX($K$7:$K$33,SMALL(IF($N$7:$N$33&lt;&gt;"",IF($K$7:$K$33&lt;&gt;"",ROW($K$7:$K$33)-MIN(ROW($K$7:$K$33))+1,""),""),ROW()-ROW(A$36)+1)),"##0"),","),"")</f>
        <v>0</v>
      </c>
      <c r="L37">
        <f t="array" ref="L37">IFERROR(CONCATENATE((INDEX($N$7:$N$33,SMALL(IF($N$7:$N$33&lt;&gt;"",IF($K$7:$K$33&lt;&gt;"",ROW($K$7:$K$33)-MIN(ROW($K$7:$K$33))+1,""),""),ROW()-ROW(A$36)+1))),","),"")</f>
        <v>0</v>
      </c>
      <c r="M37">
        <f t="array" ref="M37">IFERROR(CONCATENATE((INDEX($A$7:$A$33,SMALL(IF($N$7:$N$33&lt;&gt;"",IF($K$7:$K$33&lt;&gt;"",ROW($K$7:$K$33)-MIN(ROW($K$7:$K$33))+1,""),""),ROW()-ROW(A$36)+1))),),"")</f>
        <v>0</v>
      </c>
      <c r="P37">
        <f t="array" ref="P37">IFERROR(CONCATENATE((INDEX($S$7:$S$33,SMALL(IF($S$7:$S$33&lt;&gt;"",IF($P$7:$P$33&lt;&gt;"",ROW($P$7:$P$33)-MIN(ROW($P$7:$P$33))+1,""),""),ROW()-ROW(A$36)+1)))," "),"")</f>
        <v>0</v>
      </c>
      <c r="Q37">
        <f t="array" ref="Q37">IFERROR(CONCATENATE(TEXT(INDEX($P$7:$P$33,SMALL(IF($S$7:$S$33&lt;&gt;"",IF($P$7:$P$33&lt;&gt;"",ROW($P$7:$P$33)-MIN(ROW($P$7:$P$33))+1,""),""),ROW()-ROW(A$36)+1)),"##0")," "),"")</f>
        <v>0</v>
      </c>
      <c r="R37">
        <f t="array" ref="R37">IFERROR(CONCATENATE((INDEX($A$7:$A$33,SMALL(IF($S$7:$S$33&lt;&gt;"",IF($P$7:$P$33&lt;&gt;"",ROW($P$7:$P$33)-MIN(ROW($P$7:$P$33))+1,""),""),ROW()-ROW(A$36)+1))),),"")</f>
        <v>0</v>
      </c>
      <c r="U37">
        <f t="array" ref="U37">IFERROR(CONCATENATE((INDEX($X$7:$X$33,SMALL(IF($X$7:$X$33&lt;&gt;"",IF($U$7:$U$33&lt;&gt;"",ROW($U$7:$U$33)-MIN(ROW($U$7:$U$33))+1,""),""),ROW()-ROW(A$36)+1)))," "),"")</f>
        <v>0</v>
      </c>
      <c r="V37">
        <f t="array" ref="V37">IFERROR(CONCATENATE(TEXT(INDEX($U$7:$U$33,SMALL(IF($X$7:$X$33&lt;&gt;"",IF($U$7:$U$33&lt;&gt;"",ROW($U$7:$U$33)-MIN(ROW($U$7:$U$33))+1,""),""),ROW()-ROW(A$36)+1)),"##0")," "),"")</f>
        <v>0</v>
      </c>
      <c r="W37">
        <f t="array" ref="W37">IFERROR(CONCATENATE((INDEX($A$7:$A$33,SMALL(IF($X$7:$X$33&lt;&gt;"",IF($U$7:$U$33&lt;&gt;"",ROW($U$7:$U$33)-MIN(ROW($U$7:$U$33))+1,""),""),ROW()-ROW(A$36)+1))),),"")</f>
        <v>0</v>
      </c>
      <c r="Z37">
        <f t="array" ref="Z37">IFERROR(CONCATENATE((INDEX($AC$7:$AC$33,SMALL(IF($AC$7:$AC$33&lt;&gt;"",IF($Z$7:$Z$33&lt;&gt;"",ROW($Z$7:$Z$33)-MIN(ROW($Z$7:$Z$33))+1,""),""),ROW()-ROW(A$36)+1))),","),"")</f>
        <v>0</v>
      </c>
      <c r="AA37">
        <f t="array" ref="AA37">IFERROR(CONCATENATE(TEXT(INDEX($Z$7:$Z$33,SMALL(IF($AC$7:$AC$33&lt;&gt;"",IF($Z$7:$Z$33&lt;&gt;"",ROW($Z$7:$Z$33)-MIN(ROW($Z$7:$Z$33))+1,""),""),ROW()-ROW(A$36)+1)),"##0"),","),"")</f>
        <v>0</v>
      </c>
      <c r="AB37">
        <f t="array" ref="AB37">IFERROR(CONCATENATE((INDEX($A$7:$A$33,SMALL(IF($AC$7:$AC$33&lt;&gt;"",IF($Z$7:$Z$33&lt;&gt;"",ROW($Z$7:$Z$33)-MIN(ROW($Z$7:$Z$33))+1,""),""),ROW()-ROW(A$36)+1))),),"")</f>
        <v>0</v>
      </c>
      <c r="AE37">
        <f t="array" ref="AE37">IFERROR(CONCATENATE((INDEX($AH$7:$AH$33,SMALL(IF($AH$7:$AH$33&lt;&gt;"",IF($AE$7:$AE$33&lt;&gt;"",ROW($AE$7:$AE$33)-MIN(ROW($AE$7:$AE$33))+1,""),""),ROW()-ROW(A$36)+1)))," "),"")</f>
        <v>0</v>
      </c>
      <c r="AF37">
        <f t="array" ref="AF37">IFERROR(CONCATENATE(TEXT(INDEX($AE$7:$AE$33,SMALL(IF($AH$7:$AH$33&lt;&gt;"",IF($AE$7:$AE$33&lt;&gt;"",ROW($AE$7:$AE$33)-MIN(ROW($AE$7:$AE$33))+1,""),""),ROW()-ROW(A$36)+1)),"##0")," "),"")</f>
        <v>0</v>
      </c>
      <c r="AG37">
        <f t="array" ref="AG37">IFERROR(CONCATENATE((INDEX($A$7:$A$33,SMALL(IF($AH$7:$AH$33&lt;&gt;"",IF($AE$7:$AE$33&lt;&gt;"",ROW($AE$7:$AE$33)-MIN(ROW($AE$7:$AE$33))+1,""),""),ROW()-ROW(A$36)+1))),),"")</f>
        <v>0</v>
      </c>
      <c r="AJ37">
        <f t="array" ref="AJ37">IFERROR(CONCATENATE((INDEX($AM$7:$AM$33,SMALL(IF($AM$7:$AM$33&lt;&gt;"",IF($AJ$7:$AJ$33&lt;&gt;"",ROW($AJ$7:$AJ$33)-MIN(ROW($AJ$7:$AJ$33))+1,""),""),ROW()-ROW(A$36)+1)))," "),"")</f>
        <v>0</v>
      </c>
      <c r="AK37">
        <f t="array" ref="AK37">IFERROR(CONCATENATE(TEXT(INDEX($AJ$7:$AJ$33,SMALL(IF($AM$7:$AM$33&lt;&gt;"",IF($AJ$7:$AJ$33&lt;&gt;"",ROW($AJ$7:$AJ$33)-MIN(ROW($AJ$7:$AJ$33))+1,""),""),ROW()-ROW(A$36)+1)),"##0")," "),"")</f>
        <v>0</v>
      </c>
      <c r="AL37">
        <f t="array" ref="AL37">IFERROR(CONCATENATE((INDEX($A$7:$A$33,SMALL(IF($AM$7:$AM$33&lt;&gt;"",IF($AJ$7:$AJ$33&lt;&gt;"",ROW($AJ$7:$AJ$33)-MIN(ROW($AJ$7:$AJ$33))+1,""),""),ROW()-ROW(A$36)+1))),),"")</f>
        <v>0</v>
      </c>
    </row>
    <row r="38" spans="1:38">
      <c r="K38">
        <f t="array" ref="K38">IFERROR(CONCATENATE(TEXT(INDEX($K$7:$K$33,SMALL(IF($N$7:$N$33&lt;&gt;"",IF($K$7:$K$33&lt;&gt;"",ROW($K$7:$K$33)-MIN(ROW($K$7:$K$33))+1,""),""),ROW()-ROW(A$36)+1)),"##0"),","),"")</f>
        <v>0</v>
      </c>
      <c r="L38">
        <f t="array" ref="L38">IFERROR(CONCATENATE((INDEX($N$7:$N$33,SMALL(IF($N$7:$N$33&lt;&gt;"",IF($K$7:$K$33&lt;&gt;"",ROW($K$7:$K$33)-MIN(ROW($K$7:$K$33))+1,""),""),ROW()-ROW(A$36)+1))),","),"")</f>
        <v>0</v>
      </c>
      <c r="M38">
        <f t="array" ref="M38">IFERROR(CONCATENATE((INDEX($A$7:$A$33,SMALL(IF($N$7:$N$33&lt;&gt;"",IF($K$7:$K$33&lt;&gt;"",ROW($K$7:$K$33)-MIN(ROW($K$7:$K$33))+1,""),""),ROW()-ROW(A$36)+1))),),"")</f>
        <v>0</v>
      </c>
      <c r="P38">
        <f t="array" ref="P38">IFERROR(CONCATENATE((INDEX($S$7:$S$33,SMALL(IF($S$7:$S$33&lt;&gt;"",IF($P$7:$P$33&lt;&gt;"",ROW($P$7:$P$33)-MIN(ROW($P$7:$P$33))+1,""),""),ROW()-ROW(A$36)+1)))," "),"")</f>
        <v>0</v>
      </c>
      <c r="Q38">
        <f t="array" ref="Q38">IFERROR(CONCATENATE(TEXT(INDEX($P$7:$P$33,SMALL(IF($S$7:$S$33&lt;&gt;"",IF($P$7:$P$33&lt;&gt;"",ROW($P$7:$P$33)-MIN(ROW($P$7:$P$33))+1,""),""),ROW()-ROW(A$36)+1)),"##0")," "),"")</f>
        <v>0</v>
      </c>
      <c r="R38">
        <f t="array" ref="R38">IFERROR(CONCATENATE((INDEX($A$7:$A$33,SMALL(IF($S$7:$S$33&lt;&gt;"",IF($P$7:$P$33&lt;&gt;"",ROW($P$7:$P$33)-MIN(ROW($P$7:$P$33))+1,""),""),ROW()-ROW(A$36)+1))),),"")</f>
        <v>0</v>
      </c>
      <c r="U38">
        <f t="array" ref="U38">IFERROR(CONCATENATE((INDEX($X$7:$X$33,SMALL(IF($X$7:$X$33&lt;&gt;"",IF($U$7:$U$33&lt;&gt;"",ROW($U$7:$U$33)-MIN(ROW($U$7:$U$33))+1,""),""),ROW()-ROW(A$36)+1)))," "),"")</f>
        <v>0</v>
      </c>
      <c r="V38">
        <f t="array" ref="V38">IFERROR(CONCATENATE(TEXT(INDEX($U$7:$U$33,SMALL(IF($X$7:$X$33&lt;&gt;"",IF($U$7:$U$33&lt;&gt;"",ROW($U$7:$U$33)-MIN(ROW($U$7:$U$33))+1,""),""),ROW()-ROW(A$36)+1)),"##0")," "),"")</f>
        <v>0</v>
      </c>
      <c r="W38">
        <f t="array" ref="W38">IFERROR(CONCATENATE((INDEX($A$7:$A$33,SMALL(IF($X$7:$X$33&lt;&gt;"",IF($U$7:$U$33&lt;&gt;"",ROW($U$7:$U$33)-MIN(ROW($U$7:$U$33))+1,""),""),ROW()-ROW(A$36)+1))),),"")</f>
        <v>0</v>
      </c>
      <c r="Z38">
        <f t="array" ref="Z38">IFERROR(CONCATENATE((INDEX($AC$7:$AC$33,SMALL(IF($AC$7:$AC$33&lt;&gt;"",IF($Z$7:$Z$33&lt;&gt;"",ROW($Z$7:$Z$33)-MIN(ROW($Z$7:$Z$33))+1,""),""),ROW()-ROW(A$36)+1))),","),"")</f>
        <v>0</v>
      </c>
      <c r="AA38">
        <f t="array" ref="AA38">IFERROR(CONCATENATE(TEXT(INDEX($Z$7:$Z$33,SMALL(IF($AC$7:$AC$33&lt;&gt;"",IF($Z$7:$Z$33&lt;&gt;"",ROW($Z$7:$Z$33)-MIN(ROW($Z$7:$Z$33))+1,""),""),ROW()-ROW(A$36)+1)),"##0"),","),"")</f>
        <v>0</v>
      </c>
      <c r="AB38">
        <f t="array" ref="AB38">IFERROR(CONCATENATE((INDEX($A$7:$A$33,SMALL(IF($AC$7:$AC$33&lt;&gt;"",IF($Z$7:$Z$33&lt;&gt;"",ROW($Z$7:$Z$33)-MIN(ROW($Z$7:$Z$33))+1,""),""),ROW()-ROW(A$36)+1))),),"")</f>
        <v>0</v>
      </c>
      <c r="AE38">
        <f t="array" ref="AE38">IFERROR(CONCATENATE((INDEX($AH$7:$AH$33,SMALL(IF($AH$7:$AH$33&lt;&gt;"",IF($AE$7:$AE$33&lt;&gt;"",ROW($AE$7:$AE$33)-MIN(ROW($AE$7:$AE$33))+1,""),""),ROW()-ROW(A$36)+1)))," "),"")</f>
        <v>0</v>
      </c>
      <c r="AF38">
        <f t="array" ref="AF38">IFERROR(CONCATENATE(TEXT(INDEX($AE$7:$AE$33,SMALL(IF($AH$7:$AH$33&lt;&gt;"",IF($AE$7:$AE$33&lt;&gt;"",ROW($AE$7:$AE$33)-MIN(ROW($AE$7:$AE$33))+1,""),""),ROW()-ROW(A$36)+1)),"##0")," "),"")</f>
        <v>0</v>
      </c>
      <c r="AG38">
        <f t="array" ref="AG38">IFERROR(CONCATENATE((INDEX($A$7:$A$33,SMALL(IF($AH$7:$AH$33&lt;&gt;"",IF($AE$7:$AE$33&lt;&gt;"",ROW($AE$7:$AE$33)-MIN(ROW($AE$7:$AE$33))+1,""),""),ROW()-ROW(A$36)+1))),),"")</f>
        <v>0</v>
      </c>
      <c r="AJ38">
        <f t="array" ref="AJ38">IFERROR(CONCATENATE((INDEX($AM$7:$AM$33,SMALL(IF($AM$7:$AM$33&lt;&gt;"",IF($AJ$7:$AJ$33&lt;&gt;"",ROW($AJ$7:$AJ$33)-MIN(ROW($AJ$7:$AJ$33))+1,""),""),ROW()-ROW(A$36)+1)))," "),"")</f>
        <v>0</v>
      </c>
      <c r="AK38">
        <f t="array" ref="AK38">IFERROR(CONCATENATE(TEXT(INDEX($AJ$7:$AJ$33,SMALL(IF($AM$7:$AM$33&lt;&gt;"",IF($AJ$7:$AJ$33&lt;&gt;"",ROW($AJ$7:$AJ$33)-MIN(ROW($AJ$7:$AJ$33))+1,""),""),ROW()-ROW(A$36)+1)),"##0")," "),"")</f>
        <v>0</v>
      </c>
      <c r="AL38">
        <f t="array" ref="AL38">IFERROR(CONCATENATE((INDEX($A$7:$A$33,SMALL(IF($AM$7:$AM$33&lt;&gt;"",IF($AJ$7:$AJ$33&lt;&gt;"",ROW($AJ$7:$AJ$33)-MIN(ROW($AJ$7:$AJ$33))+1,""),""),ROW()-ROW(A$36)+1))),),"")</f>
        <v>0</v>
      </c>
    </row>
    <row r="39" spans="1:38">
      <c r="K39">
        <f t="array" ref="K39">IFERROR(CONCATENATE(TEXT(INDEX($K$7:$K$33,SMALL(IF($N$7:$N$33&lt;&gt;"",IF($K$7:$K$33&lt;&gt;"",ROW($K$7:$K$33)-MIN(ROW($K$7:$K$33))+1,""),""),ROW()-ROW(A$36)+1)),"##0"),","),"")</f>
        <v>0</v>
      </c>
      <c r="L39">
        <f t="array" ref="L39">IFERROR(CONCATENATE((INDEX($N$7:$N$33,SMALL(IF($N$7:$N$33&lt;&gt;"",IF($K$7:$K$33&lt;&gt;"",ROW($K$7:$K$33)-MIN(ROW($K$7:$K$33))+1,""),""),ROW()-ROW(A$36)+1))),","),"")</f>
        <v>0</v>
      </c>
      <c r="M39">
        <f t="array" ref="M39">IFERROR(CONCATENATE((INDEX($A$7:$A$33,SMALL(IF($N$7:$N$33&lt;&gt;"",IF($K$7:$K$33&lt;&gt;"",ROW($K$7:$K$33)-MIN(ROW($K$7:$K$33))+1,""),""),ROW()-ROW(A$36)+1))),),"")</f>
        <v>0</v>
      </c>
      <c r="P39">
        <f t="array" ref="P39">IFERROR(CONCATENATE((INDEX($S$7:$S$33,SMALL(IF($S$7:$S$33&lt;&gt;"",IF($P$7:$P$33&lt;&gt;"",ROW($P$7:$P$33)-MIN(ROW($P$7:$P$33))+1,""),""),ROW()-ROW(A$36)+1)))," "),"")</f>
        <v>0</v>
      </c>
      <c r="Q39">
        <f t="array" ref="Q39">IFERROR(CONCATENATE(TEXT(INDEX($P$7:$P$33,SMALL(IF($S$7:$S$33&lt;&gt;"",IF($P$7:$P$33&lt;&gt;"",ROW($P$7:$P$33)-MIN(ROW($P$7:$P$33))+1,""),""),ROW()-ROW(A$36)+1)),"##0")," "),"")</f>
        <v>0</v>
      </c>
      <c r="R39">
        <f t="array" ref="R39">IFERROR(CONCATENATE((INDEX($A$7:$A$33,SMALL(IF($S$7:$S$33&lt;&gt;"",IF($P$7:$P$33&lt;&gt;"",ROW($P$7:$P$33)-MIN(ROW($P$7:$P$33))+1,""),""),ROW()-ROW(A$36)+1))),),"")</f>
        <v>0</v>
      </c>
      <c r="U39">
        <f t="array" ref="U39">IFERROR(CONCATENATE((INDEX($X$7:$X$33,SMALL(IF($X$7:$X$33&lt;&gt;"",IF($U$7:$U$33&lt;&gt;"",ROW($U$7:$U$33)-MIN(ROW($U$7:$U$33))+1,""),""),ROW()-ROW(A$36)+1)))," "),"")</f>
        <v>0</v>
      </c>
      <c r="V39">
        <f t="array" ref="V39">IFERROR(CONCATENATE(TEXT(INDEX($U$7:$U$33,SMALL(IF($X$7:$X$33&lt;&gt;"",IF($U$7:$U$33&lt;&gt;"",ROW($U$7:$U$33)-MIN(ROW($U$7:$U$33))+1,""),""),ROW()-ROW(A$36)+1)),"##0")," "),"")</f>
        <v>0</v>
      </c>
      <c r="W39">
        <f t="array" ref="W39">IFERROR(CONCATENATE((INDEX($A$7:$A$33,SMALL(IF($X$7:$X$33&lt;&gt;"",IF($U$7:$U$33&lt;&gt;"",ROW($U$7:$U$33)-MIN(ROW($U$7:$U$33))+1,""),""),ROW()-ROW(A$36)+1))),),"")</f>
        <v>0</v>
      </c>
      <c r="Z39">
        <f t="array" ref="Z39">IFERROR(CONCATENATE((INDEX($AC$7:$AC$33,SMALL(IF($AC$7:$AC$33&lt;&gt;"",IF($Z$7:$Z$33&lt;&gt;"",ROW($Z$7:$Z$33)-MIN(ROW($Z$7:$Z$33))+1,""),""),ROW()-ROW(A$36)+1))),","),"")</f>
        <v>0</v>
      </c>
      <c r="AA39">
        <f t="array" ref="AA39">IFERROR(CONCATENATE(TEXT(INDEX($Z$7:$Z$33,SMALL(IF($AC$7:$AC$33&lt;&gt;"",IF($Z$7:$Z$33&lt;&gt;"",ROW($Z$7:$Z$33)-MIN(ROW($Z$7:$Z$33))+1,""),""),ROW()-ROW(A$36)+1)),"##0"),","),"")</f>
        <v>0</v>
      </c>
      <c r="AB39">
        <f t="array" ref="AB39">IFERROR(CONCATENATE((INDEX($A$7:$A$33,SMALL(IF($AC$7:$AC$33&lt;&gt;"",IF($Z$7:$Z$33&lt;&gt;"",ROW($Z$7:$Z$33)-MIN(ROW($Z$7:$Z$33))+1,""),""),ROW()-ROW(A$36)+1))),),"")</f>
        <v>0</v>
      </c>
      <c r="AE39">
        <f t="array" ref="AE39">IFERROR(CONCATENATE((INDEX($AH$7:$AH$33,SMALL(IF($AH$7:$AH$33&lt;&gt;"",IF($AE$7:$AE$33&lt;&gt;"",ROW($AE$7:$AE$33)-MIN(ROW($AE$7:$AE$33))+1,""),""),ROW()-ROW(A$36)+1)))," "),"")</f>
        <v>0</v>
      </c>
      <c r="AF39">
        <f t="array" ref="AF39">IFERROR(CONCATENATE(TEXT(INDEX($AE$7:$AE$33,SMALL(IF($AH$7:$AH$33&lt;&gt;"",IF($AE$7:$AE$33&lt;&gt;"",ROW($AE$7:$AE$33)-MIN(ROW($AE$7:$AE$33))+1,""),""),ROW()-ROW(A$36)+1)),"##0")," "),"")</f>
        <v>0</v>
      </c>
      <c r="AG39">
        <f t="array" ref="AG39">IFERROR(CONCATENATE((INDEX($A$7:$A$33,SMALL(IF($AH$7:$AH$33&lt;&gt;"",IF($AE$7:$AE$33&lt;&gt;"",ROW($AE$7:$AE$33)-MIN(ROW($AE$7:$AE$33))+1,""),""),ROW()-ROW(A$36)+1))),),"")</f>
        <v>0</v>
      </c>
      <c r="AJ39">
        <f t="array" ref="AJ39">IFERROR(CONCATENATE((INDEX($AM$7:$AM$33,SMALL(IF($AM$7:$AM$33&lt;&gt;"",IF($AJ$7:$AJ$33&lt;&gt;"",ROW($AJ$7:$AJ$33)-MIN(ROW($AJ$7:$AJ$33))+1,""),""),ROW()-ROW(A$36)+1)))," "),"")</f>
        <v>0</v>
      </c>
      <c r="AK39">
        <f t="array" ref="AK39">IFERROR(CONCATENATE(TEXT(INDEX($AJ$7:$AJ$33,SMALL(IF($AM$7:$AM$33&lt;&gt;"",IF($AJ$7:$AJ$33&lt;&gt;"",ROW($AJ$7:$AJ$33)-MIN(ROW($AJ$7:$AJ$33))+1,""),""),ROW()-ROW(A$36)+1)),"##0")," "),"")</f>
        <v>0</v>
      </c>
      <c r="AL39">
        <f t="array" ref="AL39">IFERROR(CONCATENATE((INDEX($A$7:$A$33,SMALL(IF($AM$7:$AM$33&lt;&gt;"",IF($AJ$7:$AJ$33&lt;&gt;"",ROW($AJ$7:$AJ$33)-MIN(ROW($AJ$7:$AJ$33))+1,""),""),ROW()-ROW(A$36)+1))),),"")</f>
        <v>0</v>
      </c>
    </row>
    <row r="40" spans="1:38">
      <c r="K40">
        <f t="array" ref="K40">IFERROR(CONCATENATE(TEXT(INDEX($K$7:$K$33,SMALL(IF($N$7:$N$33&lt;&gt;"",IF($K$7:$K$33&lt;&gt;"",ROW($K$7:$K$33)-MIN(ROW($K$7:$K$33))+1,""),""),ROW()-ROW(A$36)+1)),"##0"),","),"")</f>
        <v>0</v>
      </c>
      <c r="L40">
        <f t="array" ref="L40">IFERROR(CONCATENATE((INDEX($N$7:$N$33,SMALL(IF($N$7:$N$33&lt;&gt;"",IF($K$7:$K$33&lt;&gt;"",ROW($K$7:$K$33)-MIN(ROW($K$7:$K$33))+1,""),""),ROW()-ROW(A$36)+1))),","),"")</f>
        <v>0</v>
      </c>
      <c r="M40">
        <f t="array" ref="M40">IFERROR(CONCATENATE((INDEX($A$7:$A$33,SMALL(IF($N$7:$N$33&lt;&gt;"",IF($K$7:$K$33&lt;&gt;"",ROW($K$7:$K$33)-MIN(ROW($K$7:$K$33))+1,""),""),ROW()-ROW(A$36)+1))),),"")</f>
        <v>0</v>
      </c>
      <c r="P40">
        <f t="array" ref="P40">IFERROR(CONCATENATE((INDEX($S$7:$S$33,SMALL(IF($S$7:$S$33&lt;&gt;"",IF($P$7:$P$33&lt;&gt;"",ROW($P$7:$P$33)-MIN(ROW($P$7:$P$33))+1,""),""),ROW()-ROW(A$36)+1)))," "),"")</f>
        <v>0</v>
      </c>
      <c r="Q40">
        <f t="array" ref="Q40">IFERROR(CONCATENATE(TEXT(INDEX($P$7:$P$33,SMALL(IF($S$7:$S$33&lt;&gt;"",IF($P$7:$P$33&lt;&gt;"",ROW($P$7:$P$33)-MIN(ROW($P$7:$P$33))+1,""),""),ROW()-ROW(A$36)+1)),"##0")," "),"")</f>
        <v>0</v>
      </c>
      <c r="R40">
        <f t="array" ref="R40">IFERROR(CONCATENATE((INDEX($A$7:$A$33,SMALL(IF($S$7:$S$33&lt;&gt;"",IF($P$7:$P$33&lt;&gt;"",ROW($P$7:$P$33)-MIN(ROW($P$7:$P$33))+1,""),""),ROW()-ROW(A$36)+1))),),"")</f>
        <v>0</v>
      </c>
      <c r="U40">
        <f t="array" ref="U40">IFERROR(CONCATENATE((INDEX($X$7:$X$33,SMALL(IF($X$7:$X$33&lt;&gt;"",IF($U$7:$U$33&lt;&gt;"",ROW($U$7:$U$33)-MIN(ROW($U$7:$U$33))+1,""),""),ROW()-ROW(A$36)+1)))," "),"")</f>
        <v>0</v>
      </c>
      <c r="V40">
        <f t="array" ref="V40">IFERROR(CONCATENATE(TEXT(INDEX($U$7:$U$33,SMALL(IF($X$7:$X$33&lt;&gt;"",IF($U$7:$U$33&lt;&gt;"",ROW($U$7:$U$33)-MIN(ROW($U$7:$U$33))+1,""),""),ROW()-ROW(A$36)+1)),"##0")," "),"")</f>
        <v>0</v>
      </c>
      <c r="W40">
        <f t="array" ref="W40">IFERROR(CONCATENATE((INDEX($A$7:$A$33,SMALL(IF($X$7:$X$33&lt;&gt;"",IF($U$7:$U$33&lt;&gt;"",ROW($U$7:$U$33)-MIN(ROW($U$7:$U$33))+1,""),""),ROW()-ROW(A$36)+1))),),"")</f>
        <v>0</v>
      </c>
      <c r="Z40">
        <f t="array" ref="Z40">IFERROR(CONCATENATE((INDEX($AC$7:$AC$33,SMALL(IF($AC$7:$AC$33&lt;&gt;"",IF($Z$7:$Z$33&lt;&gt;"",ROW($Z$7:$Z$33)-MIN(ROW($Z$7:$Z$33))+1,""),""),ROW()-ROW(A$36)+1))),","),"")</f>
        <v>0</v>
      </c>
      <c r="AA40">
        <f t="array" ref="AA40">IFERROR(CONCATENATE(TEXT(INDEX($Z$7:$Z$33,SMALL(IF($AC$7:$AC$33&lt;&gt;"",IF($Z$7:$Z$33&lt;&gt;"",ROW($Z$7:$Z$33)-MIN(ROW($Z$7:$Z$33))+1,""),""),ROW()-ROW(A$36)+1)),"##0"),","),"")</f>
        <v>0</v>
      </c>
      <c r="AB40">
        <f t="array" ref="AB40">IFERROR(CONCATENATE((INDEX($A$7:$A$33,SMALL(IF($AC$7:$AC$33&lt;&gt;"",IF($Z$7:$Z$33&lt;&gt;"",ROW($Z$7:$Z$33)-MIN(ROW($Z$7:$Z$33))+1,""),""),ROW()-ROW(A$36)+1))),),"")</f>
        <v>0</v>
      </c>
      <c r="AE40">
        <f t="array" ref="AE40">IFERROR(CONCATENATE((INDEX($AH$7:$AH$33,SMALL(IF($AH$7:$AH$33&lt;&gt;"",IF($AE$7:$AE$33&lt;&gt;"",ROW($AE$7:$AE$33)-MIN(ROW($AE$7:$AE$33))+1,""),""),ROW()-ROW(A$36)+1)))," "),"")</f>
        <v>0</v>
      </c>
      <c r="AF40">
        <f t="array" ref="AF40">IFERROR(CONCATENATE(TEXT(INDEX($AE$7:$AE$33,SMALL(IF($AH$7:$AH$33&lt;&gt;"",IF($AE$7:$AE$33&lt;&gt;"",ROW($AE$7:$AE$33)-MIN(ROW($AE$7:$AE$33))+1,""),""),ROW()-ROW(A$36)+1)),"##0")," "),"")</f>
        <v>0</v>
      </c>
      <c r="AG40">
        <f t="array" ref="AG40">IFERROR(CONCATENATE((INDEX($A$7:$A$33,SMALL(IF($AH$7:$AH$33&lt;&gt;"",IF($AE$7:$AE$33&lt;&gt;"",ROW($AE$7:$AE$33)-MIN(ROW($AE$7:$AE$33))+1,""),""),ROW()-ROW(A$36)+1))),),"")</f>
        <v>0</v>
      </c>
      <c r="AJ40">
        <f t="array" ref="AJ40">IFERROR(CONCATENATE((INDEX($AM$7:$AM$33,SMALL(IF($AM$7:$AM$33&lt;&gt;"",IF($AJ$7:$AJ$33&lt;&gt;"",ROW($AJ$7:$AJ$33)-MIN(ROW($AJ$7:$AJ$33))+1,""),""),ROW()-ROW(A$36)+1)))," "),"")</f>
        <v>0</v>
      </c>
      <c r="AK40">
        <f t="array" ref="AK40">IFERROR(CONCATENATE(TEXT(INDEX($AJ$7:$AJ$33,SMALL(IF($AM$7:$AM$33&lt;&gt;"",IF($AJ$7:$AJ$33&lt;&gt;"",ROW($AJ$7:$AJ$33)-MIN(ROW($AJ$7:$AJ$33))+1,""),""),ROW()-ROW(A$36)+1)),"##0")," "),"")</f>
        <v>0</v>
      </c>
      <c r="AL40">
        <f t="array" ref="AL40">IFERROR(CONCATENATE((INDEX($A$7:$A$33,SMALL(IF($AM$7:$AM$33&lt;&gt;"",IF($AJ$7:$AJ$33&lt;&gt;"",ROW($AJ$7:$AJ$33)-MIN(ROW($AJ$7:$AJ$33))+1,""),""),ROW()-ROW(A$36)+1))),),"")</f>
        <v>0</v>
      </c>
    </row>
    <row r="41" spans="1:38">
      <c r="K41">
        <f t="array" ref="K41">IFERROR(CONCATENATE(TEXT(INDEX($K$7:$K$33,SMALL(IF($N$7:$N$33&lt;&gt;"",IF($K$7:$K$33&lt;&gt;"",ROW($K$7:$K$33)-MIN(ROW($K$7:$K$33))+1,""),""),ROW()-ROW(A$36)+1)),"##0"),","),"")</f>
        <v>0</v>
      </c>
      <c r="L41">
        <f t="array" ref="L41">IFERROR(CONCATENATE((INDEX($N$7:$N$33,SMALL(IF($N$7:$N$33&lt;&gt;"",IF($K$7:$K$33&lt;&gt;"",ROW($K$7:$K$33)-MIN(ROW($K$7:$K$33))+1,""),""),ROW()-ROW(A$36)+1))),","),"")</f>
        <v>0</v>
      </c>
      <c r="M41">
        <f t="array" ref="M41">IFERROR(CONCATENATE((INDEX($A$7:$A$33,SMALL(IF($N$7:$N$33&lt;&gt;"",IF($K$7:$K$33&lt;&gt;"",ROW($K$7:$K$33)-MIN(ROW($K$7:$K$33))+1,""),""),ROW()-ROW(A$36)+1))),),"")</f>
        <v>0</v>
      </c>
      <c r="P41">
        <f t="array" ref="P41">IFERROR(CONCATENATE((INDEX($S$7:$S$33,SMALL(IF($S$7:$S$33&lt;&gt;"",IF($P$7:$P$33&lt;&gt;"",ROW($P$7:$P$33)-MIN(ROW($P$7:$P$33))+1,""),""),ROW()-ROW(A$36)+1)))," "),"")</f>
        <v>0</v>
      </c>
      <c r="Q41">
        <f t="array" ref="Q41">IFERROR(CONCATENATE(TEXT(INDEX($P$7:$P$33,SMALL(IF($S$7:$S$33&lt;&gt;"",IF($P$7:$P$33&lt;&gt;"",ROW($P$7:$P$33)-MIN(ROW($P$7:$P$33))+1,""),""),ROW()-ROW(A$36)+1)),"##0")," "),"")</f>
        <v>0</v>
      </c>
      <c r="R41">
        <f t="array" ref="R41">IFERROR(CONCATENATE((INDEX($A$7:$A$33,SMALL(IF($S$7:$S$33&lt;&gt;"",IF($P$7:$P$33&lt;&gt;"",ROW($P$7:$P$33)-MIN(ROW($P$7:$P$33))+1,""),""),ROW()-ROW(A$36)+1))),),"")</f>
        <v>0</v>
      </c>
      <c r="U41">
        <f t="array" ref="U41">IFERROR(CONCATENATE((INDEX($X$7:$X$33,SMALL(IF($X$7:$X$33&lt;&gt;"",IF($U$7:$U$33&lt;&gt;"",ROW($U$7:$U$33)-MIN(ROW($U$7:$U$33))+1,""),""),ROW()-ROW(A$36)+1)))," "),"")</f>
        <v>0</v>
      </c>
      <c r="V41">
        <f t="array" ref="V41">IFERROR(CONCATENATE(TEXT(INDEX($U$7:$U$33,SMALL(IF($X$7:$X$33&lt;&gt;"",IF($U$7:$U$33&lt;&gt;"",ROW($U$7:$U$33)-MIN(ROW($U$7:$U$33))+1,""),""),ROW()-ROW(A$36)+1)),"##0")," "),"")</f>
        <v>0</v>
      </c>
      <c r="W41">
        <f t="array" ref="W41">IFERROR(CONCATENATE((INDEX($A$7:$A$33,SMALL(IF($X$7:$X$33&lt;&gt;"",IF($U$7:$U$33&lt;&gt;"",ROW($U$7:$U$33)-MIN(ROW($U$7:$U$33))+1,""),""),ROW()-ROW(A$36)+1))),),"")</f>
        <v>0</v>
      </c>
      <c r="Z41">
        <f t="array" ref="Z41">IFERROR(CONCATENATE((INDEX($AC$7:$AC$33,SMALL(IF($AC$7:$AC$33&lt;&gt;"",IF($Z$7:$Z$33&lt;&gt;"",ROW($Z$7:$Z$33)-MIN(ROW($Z$7:$Z$33))+1,""),""),ROW()-ROW(A$36)+1))),","),"")</f>
        <v>0</v>
      </c>
      <c r="AA41">
        <f t="array" ref="AA41">IFERROR(CONCATENATE(TEXT(INDEX($Z$7:$Z$33,SMALL(IF($AC$7:$AC$33&lt;&gt;"",IF($Z$7:$Z$33&lt;&gt;"",ROW($Z$7:$Z$33)-MIN(ROW($Z$7:$Z$33))+1,""),""),ROW()-ROW(A$36)+1)),"##0"),","),"")</f>
        <v>0</v>
      </c>
      <c r="AB41">
        <f t="array" ref="AB41">IFERROR(CONCATENATE((INDEX($A$7:$A$33,SMALL(IF($AC$7:$AC$33&lt;&gt;"",IF($Z$7:$Z$33&lt;&gt;"",ROW($Z$7:$Z$33)-MIN(ROW($Z$7:$Z$33))+1,""),""),ROW()-ROW(A$36)+1))),),"")</f>
        <v>0</v>
      </c>
      <c r="AE41">
        <f t="array" ref="AE41">IFERROR(CONCATENATE((INDEX($AH$7:$AH$33,SMALL(IF($AH$7:$AH$33&lt;&gt;"",IF($AE$7:$AE$33&lt;&gt;"",ROW($AE$7:$AE$33)-MIN(ROW($AE$7:$AE$33))+1,""),""),ROW()-ROW(A$36)+1)))," "),"")</f>
        <v>0</v>
      </c>
      <c r="AF41">
        <f t="array" ref="AF41">IFERROR(CONCATENATE(TEXT(INDEX($AE$7:$AE$33,SMALL(IF($AH$7:$AH$33&lt;&gt;"",IF($AE$7:$AE$33&lt;&gt;"",ROW($AE$7:$AE$33)-MIN(ROW($AE$7:$AE$33))+1,""),""),ROW()-ROW(A$36)+1)),"##0")," "),"")</f>
        <v>0</v>
      </c>
      <c r="AG41">
        <f t="array" ref="AG41">IFERROR(CONCATENATE((INDEX($A$7:$A$33,SMALL(IF($AH$7:$AH$33&lt;&gt;"",IF($AE$7:$AE$33&lt;&gt;"",ROW($AE$7:$AE$33)-MIN(ROW($AE$7:$AE$33))+1,""),""),ROW()-ROW(A$36)+1))),),"")</f>
        <v>0</v>
      </c>
      <c r="AJ41">
        <f t="array" ref="AJ41">IFERROR(CONCATENATE((INDEX($AM$7:$AM$33,SMALL(IF($AM$7:$AM$33&lt;&gt;"",IF($AJ$7:$AJ$33&lt;&gt;"",ROW($AJ$7:$AJ$33)-MIN(ROW($AJ$7:$AJ$33))+1,""),""),ROW()-ROW(A$36)+1)))," "),"")</f>
        <v>0</v>
      </c>
      <c r="AK41">
        <f t="array" ref="AK41">IFERROR(CONCATENATE(TEXT(INDEX($AJ$7:$AJ$33,SMALL(IF($AM$7:$AM$33&lt;&gt;"",IF($AJ$7:$AJ$33&lt;&gt;"",ROW($AJ$7:$AJ$33)-MIN(ROW($AJ$7:$AJ$33))+1,""),""),ROW()-ROW(A$36)+1)),"##0")," "),"")</f>
        <v>0</v>
      </c>
      <c r="AL41">
        <f t="array" ref="AL41">IFERROR(CONCATENATE((INDEX($A$7:$A$33,SMALL(IF($AM$7:$AM$33&lt;&gt;"",IF($AJ$7:$AJ$33&lt;&gt;"",ROW($AJ$7:$AJ$33)-MIN(ROW($AJ$7:$AJ$33))+1,""),""),ROW()-ROW(A$36)+1))),),"")</f>
        <v>0</v>
      </c>
    </row>
    <row r="42" spans="1:38">
      <c r="K42">
        <f t="array" ref="K42">IFERROR(CONCATENATE(TEXT(INDEX($K$7:$K$33,SMALL(IF($N$7:$N$33&lt;&gt;"",IF($K$7:$K$33&lt;&gt;"",ROW($K$7:$K$33)-MIN(ROW($K$7:$K$33))+1,""),""),ROW()-ROW(A$36)+1)),"##0"),","),"")</f>
        <v>0</v>
      </c>
      <c r="L42">
        <f t="array" ref="L42">IFERROR(CONCATENATE((INDEX($N$7:$N$33,SMALL(IF($N$7:$N$33&lt;&gt;"",IF($K$7:$K$33&lt;&gt;"",ROW($K$7:$K$33)-MIN(ROW($K$7:$K$33))+1,""),""),ROW()-ROW(A$36)+1))),","),"")</f>
        <v>0</v>
      </c>
      <c r="M42">
        <f t="array" ref="M42">IFERROR(CONCATENATE((INDEX($A$7:$A$33,SMALL(IF($N$7:$N$33&lt;&gt;"",IF($K$7:$K$33&lt;&gt;"",ROW($K$7:$K$33)-MIN(ROW($K$7:$K$33))+1,""),""),ROW()-ROW(A$36)+1))),),"")</f>
        <v>0</v>
      </c>
      <c r="P42">
        <f t="array" ref="P42">IFERROR(CONCATENATE((INDEX($S$7:$S$33,SMALL(IF($S$7:$S$33&lt;&gt;"",IF($P$7:$P$33&lt;&gt;"",ROW($P$7:$P$33)-MIN(ROW($P$7:$P$33))+1,""),""),ROW()-ROW(A$36)+1)))," "),"")</f>
        <v>0</v>
      </c>
      <c r="Q42">
        <f t="array" ref="Q42">IFERROR(CONCATENATE(TEXT(INDEX($P$7:$P$33,SMALL(IF($S$7:$S$33&lt;&gt;"",IF($P$7:$P$33&lt;&gt;"",ROW($P$7:$P$33)-MIN(ROW($P$7:$P$33))+1,""),""),ROW()-ROW(A$36)+1)),"##0")," "),"")</f>
        <v>0</v>
      </c>
      <c r="R42">
        <f t="array" ref="R42">IFERROR(CONCATENATE((INDEX($A$7:$A$33,SMALL(IF($S$7:$S$33&lt;&gt;"",IF($P$7:$P$33&lt;&gt;"",ROW($P$7:$P$33)-MIN(ROW($P$7:$P$33))+1,""),""),ROW()-ROW(A$36)+1))),),"")</f>
        <v>0</v>
      </c>
      <c r="U42">
        <f t="array" ref="U42">IFERROR(CONCATENATE((INDEX($X$7:$X$33,SMALL(IF($X$7:$X$33&lt;&gt;"",IF($U$7:$U$33&lt;&gt;"",ROW($U$7:$U$33)-MIN(ROW($U$7:$U$33))+1,""),""),ROW()-ROW(A$36)+1)))," "),"")</f>
        <v>0</v>
      </c>
      <c r="V42">
        <f t="array" ref="V42">IFERROR(CONCATENATE(TEXT(INDEX($U$7:$U$33,SMALL(IF($X$7:$X$33&lt;&gt;"",IF($U$7:$U$33&lt;&gt;"",ROW($U$7:$U$33)-MIN(ROW($U$7:$U$33))+1,""),""),ROW()-ROW(A$36)+1)),"##0")," "),"")</f>
        <v>0</v>
      </c>
      <c r="W42">
        <f t="array" ref="W42">IFERROR(CONCATENATE((INDEX($A$7:$A$33,SMALL(IF($X$7:$X$33&lt;&gt;"",IF($U$7:$U$33&lt;&gt;"",ROW($U$7:$U$33)-MIN(ROW($U$7:$U$33))+1,""),""),ROW()-ROW(A$36)+1))),),"")</f>
        <v>0</v>
      </c>
      <c r="Z42">
        <f t="array" ref="Z42">IFERROR(CONCATENATE((INDEX($AC$7:$AC$33,SMALL(IF($AC$7:$AC$33&lt;&gt;"",IF($Z$7:$Z$33&lt;&gt;"",ROW($Z$7:$Z$33)-MIN(ROW($Z$7:$Z$33))+1,""),""),ROW()-ROW(A$36)+1))),","),"")</f>
        <v>0</v>
      </c>
      <c r="AA42">
        <f t="array" ref="AA42">IFERROR(CONCATENATE(TEXT(INDEX($Z$7:$Z$33,SMALL(IF($AC$7:$AC$33&lt;&gt;"",IF($Z$7:$Z$33&lt;&gt;"",ROW($Z$7:$Z$33)-MIN(ROW($Z$7:$Z$33))+1,""),""),ROW()-ROW(A$36)+1)),"##0"),","),"")</f>
        <v>0</v>
      </c>
      <c r="AB42">
        <f t="array" ref="AB42">IFERROR(CONCATENATE((INDEX($A$7:$A$33,SMALL(IF($AC$7:$AC$33&lt;&gt;"",IF($Z$7:$Z$33&lt;&gt;"",ROW($Z$7:$Z$33)-MIN(ROW($Z$7:$Z$33))+1,""),""),ROW()-ROW(A$36)+1))),),"")</f>
        <v>0</v>
      </c>
      <c r="AE42">
        <f t="array" ref="AE42">IFERROR(CONCATENATE((INDEX($AH$7:$AH$33,SMALL(IF($AH$7:$AH$33&lt;&gt;"",IF($AE$7:$AE$33&lt;&gt;"",ROW($AE$7:$AE$33)-MIN(ROW($AE$7:$AE$33))+1,""),""),ROW()-ROW(A$36)+1)))," "),"")</f>
        <v>0</v>
      </c>
      <c r="AF42">
        <f t="array" ref="AF42">IFERROR(CONCATENATE(TEXT(INDEX($AE$7:$AE$33,SMALL(IF($AH$7:$AH$33&lt;&gt;"",IF($AE$7:$AE$33&lt;&gt;"",ROW($AE$7:$AE$33)-MIN(ROW($AE$7:$AE$33))+1,""),""),ROW()-ROW(A$36)+1)),"##0")," "),"")</f>
        <v>0</v>
      </c>
      <c r="AG42">
        <f t="array" ref="AG42">IFERROR(CONCATENATE((INDEX($A$7:$A$33,SMALL(IF($AH$7:$AH$33&lt;&gt;"",IF($AE$7:$AE$33&lt;&gt;"",ROW($AE$7:$AE$33)-MIN(ROW($AE$7:$AE$33))+1,""),""),ROW()-ROW(A$36)+1))),),"")</f>
        <v>0</v>
      </c>
      <c r="AJ42">
        <f t="array" ref="AJ42">IFERROR(CONCATENATE((INDEX($AM$7:$AM$33,SMALL(IF($AM$7:$AM$33&lt;&gt;"",IF($AJ$7:$AJ$33&lt;&gt;"",ROW($AJ$7:$AJ$33)-MIN(ROW($AJ$7:$AJ$33))+1,""),""),ROW()-ROW(A$36)+1)))," "),"")</f>
        <v>0</v>
      </c>
      <c r="AK42">
        <f t="array" ref="AK42">IFERROR(CONCATENATE(TEXT(INDEX($AJ$7:$AJ$33,SMALL(IF($AM$7:$AM$33&lt;&gt;"",IF($AJ$7:$AJ$33&lt;&gt;"",ROW($AJ$7:$AJ$33)-MIN(ROW($AJ$7:$AJ$33))+1,""),""),ROW()-ROW(A$36)+1)),"##0")," "),"")</f>
        <v>0</v>
      </c>
      <c r="AL42">
        <f t="array" ref="AL42">IFERROR(CONCATENATE((INDEX($A$7:$A$33,SMALL(IF($AM$7:$AM$33&lt;&gt;"",IF($AJ$7:$AJ$33&lt;&gt;"",ROW($AJ$7:$AJ$33)-MIN(ROW($AJ$7:$AJ$33))+1,""),""),ROW()-ROW(A$36)+1))),),"")</f>
        <v>0</v>
      </c>
    </row>
    <row r="43" spans="1:38">
      <c r="K43">
        <f t="array" ref="K43">IFERROR(CONCATENATE(TEXT(INDEX($K$7:$K$33,SMALL(IF($N$7:$N$33&lt;&gt;"",IF($K$7:$K$33&lt;&gt;"",ROW($K$7:$K$33)-MIN(ROW($K$7:$K$33))+1,""),""),ROW()-ROW(A$36)+1)),"##0"),","),"")</f>
        <v>0</v>
      </c>
      <c r="L43">
        <f t="array" ref="L43">IFERROR(CONCATENATE((INDEX($N$7:$N$33,SMALL(IF($N$7:$N$33&lt;&gt;"",IF($K$7:$K$33&lt;&gt;"",ROW($K$7:$K$33)-MIN(ROW($K$7:$K$33))+1,""),""),ROW()-ROW(A$36)+1))),","),"")</f>
        <v>0</v>
      </c>
      <c r="M43">
        <f t="array" ref="M43">IFERROR(CONCATENATE((INDEX($A$7:$A$33,SMALL(IF($N$7:$N$33&lt;&gt;"",IF($K$7:$K$33&lt;&gt;"",ROW($K$7:$K$33)-MIN(ROW($K$7:$K$33))+1,""),""),ROW()-ROW(A$36)+1))),),"")</f>
        <v>0</v>
      </c>
      <c r="P43">
        <f t="array" ref="P43">IFERROR(CONCATENATE((INDEX($S$7:$S$33,SMALL(IF($S$7:$S$33&lt;&gt;"",IF($P$7:$P$33&lt;&gt;"",ROW($P$7:$P$33)-MIN(ROW($P$7:$P$33))+1,""),""),ROW()-ROW(A$36)+1)))," "),"")</f>
        <v>0</v>
      </c>
      <c r="Q43">
        <f t="array" ref="Q43">IFERROR(CONCATENATE(TEXT(INDEX($P$7:$P$33,SMALL(IF($S$7:$S$33&lt;&gt;"",IF($P$7:$P$33&lt;&gt;"",ROW($P$7:$P$33)-MIN(ROW($P$7:$P$33))+1,""),""),ROW()-ROW(A$36)+1)),"##0")," "),"")</f>
        <v>0</v>
      </c>
      <c r="R43">
        <f t="array" ref="R43">IFERROR(CONCATENATE((INDEX($A$7:$A$33,SMALL(IF($S$7:$S$33&lt;&gt;"",IF($P$7:$P$33&lt;&gt;"",ROW($P$7:$P$33)-MIN(ROW($P$7:$P$33))+1,""),""),ROW()-ROW(A$36)+1))),),"")</f>
        <v>0</v>
      </c>
      <c r="U43">
        <f t="array" ref="U43">IFERROR(CONCATENATE((INDEX($X$7:$X$33,SMALL(IF($X$7:$X$33&lt;&gt;"",IF($U$7:$U$33&lt;&gt;"",ROW($U$7:$U$33)-MIN(ROW($U$7:$U$33))+1,""),""),ROW()-ROW(A$36)+1)))," "),"")</f>
        <v>0</v>
      </c>
      <c r="V43">
        <f t="array" ref="V43">IFERROR(CONCATENATE(TEXT(INDEX($U$7:$U$33,SMALL(IF($X$7:$X$33&lt;&gt;"",IF($U$7:$U$33&lt;&gt;"",ROW($U$7:$U$33)-MIN(ROW($U$7:$U$33))+1,""),""),ROW()-ROW(A$36)+1)),"##0")," "),"")</f>
        <v>0</v>
      </c>
      <c r="W43">
        <f t="array" ref="W43">IFERROR(CONCATENATE((INDEX($A$7:$A$33,SMALL(IF($X$7:$X$33&lt;&gt;"",IF($U$7:$U$33&lt;&gt;"",ROW($U$7:$U$33)-MIN(ROW($U$7:$U$33))+1,""),""),ROW()-ROW(A$36)+1))),),"")</f>
        <v>0</v>
      </c>
      <c r="Z43">
        <f t="array" ref="Z43">IFERROR(CONCATENATE((INDEX($AC$7:$AC$33,SMALL(IF($AC$7:$AC$33&lt;&gt;"",IF($Z$7:$Z$33&lt;&gt;"",ROW($Z$7:$Z$33)-MIN(ROW($Z$7:$Z$33))+1,""),""),ROW()-ROW(A$36)+1))),","),"")</f>
        <v>0</v>
      </c>
      <c r="AA43">
        <f t="array" ref="AA43">IFERROR(CONCATENATE(TEXT(INDEX($Z$7:$Z$33,SMALL(IF($AC$7:$AC$33&lt;&gt;"",IF($Z$7:$Z$33&lt;&gt;"",ROW($Z$7:$Z$33)-MIN(ROW($Z$7:$Z$33))+1,""),""),ROW()-ROW(A$36)+1)),"##0"),","),"")</f>
        <v>0</v>
      </c>
      <c r="AB43">
        <f t="array" ref="AB43">IFERROR(CONCATENATE((INDEX($A$7:$A$33,SMALL(IF($AC$7:$AC$33&lt;&gt;"",IF($Z$7:$Z$33&lt;&gt;"",ROW($Z$7:$Z$33)-MIN(ROW($Z$7:$Z$33))+1,""),""),ROW()-ROW(A$36)+1))),),"")</f>
        <v>0</v>
      </c>
      <c r="AE43">
        <f t="array" ref="AE43">IFERROR(CONCATENATE((INDEX($AH$7:$AH$33,SMALL(IF($AH$7:$AH$33&lt;&gt;"",IF($AE$7:$AE$33&lt;&gt;"",ROW($AE$7:$AE$33)-MIN(ROW($AE$7:$AE$33))+1,""),""),ROW()-ROW(A$36)+1)))," "),"")</f>
        <v>0</v>
      </c>
      <c r="AF43">
        <f t="array" ref="AF43">IFERROR(CONCATENATE(TEXT(INDEX($AE$7:$AE$33,SMALL(IF($AH$7:$AH$33&lt;&gt;"",IF($AE$7:$AE$33&lt;&gt;"",ROW($AE$7:$AE$33)-MIN(ROW($AE$7:$AE$33))+1,""),""),ROW()-ROW(A$36)+1)),"##0")," "),"")</f>
        <v>0</v>
      </c>
      <c r="AG43">
        <f t="array" ref="AG43">IFERROR(CONCATENATE((INDEX($A$7:$A$33,SMALL(IF($AH$7:$AH$33&lt;&gt;"",IF($AE$7:$AE$33&lt;&gt;"",ROW($AE$7:$AE$33)-MIN(ROW($AE$7:$AE$33))+1,""),""),ROW()-ROW(A$36)+1))),),"")</f>
        <v>0</v>
      </c>
      <c r="AJ43">
        <f t="array" ref="AJ43">IFERROR(CONCATENATE((INDEX($AM$7:$AM$33,SMALL(IF($AM$7:$AM$33&lt;&gt;"",IF($AJ$7:$AJ$33&lt;&gt;"",ROW($AJ$7:$AJ$33)-MIN(ROW($AJ$7:$AJ$33))+1,""),""),ROW()-ROW(A$36)+1)))," "),"")</f>
        <v>0</v>
      </c>
      <c r="AK43">
        <f t="array" ref="AK43">IFERROR(CONCATENATE(TEXT(INDEX($AJ$7:$AJ$33,SMALL(IF($AM$7:$AM$33&lt;&gt;"",IF($AJ$7:$AJ$33&lt;&gt;"",ROW($AJ$7:$AJ$33)-MIN(ROW($AJ$7:$AJ$33))+1,""),""),ROW()-ROW(A$36)+1)),"##0")," "),"")</f>
        <v>0</v>
      </c>
      <c r="AL43">
        <f t="array" ref="AL43">IFERROR(CONCATENATE((INDEX($A$7:$A$33,SMALL(IF($AM$7:$AM$33&lt;&gt;"",IF($AJ$7:$AJ$33&lt;&gt;"",ROW($AJ$7:$AJ$33)-MIN(ROW($AJ$7:$AJ$33))+1,""),""),ROW()-ROW(A$36)+1))),),"")</f>
        <v>0</v>
      </c>
    </row>
    <row r="44" spans="1:38">
      <c r="K44">
        <f t="array" ref="K44">IFERROR(CONCATENATE(TEXT(INDEX($K$7:$K$33,SMALL(IF($N$7:$N$33&lt;&gt;"",IF($K$7:$K$33&lt;&gt;"",ROW($K$7:$K$33)-MIN(ROW($K$7:$K$33))+1,""),""),ROW()-ROW(A$36)+1)),"##0"),","),"")</f>
        <v>0</v>
      </c>
      <c r="L44">
        <f t="array" ref="L44">IFERROR(CONCATENATE((INDEX($N$7:$N$33,SMALL(IF($N$7:$N$33&lt;&gt;"",IF($K$7:$K$33&lt;&gt;"",ROW($K$7:$K$33)-MIN(ROW($K$7:$K$33))+1,""),""),ROW()-ROW(A$36)+1))),","),"")</f>
        <v>0</v>
      </c>
      <c r="M44">
        <f t="array" ref="M44">IFERROR(CONCATENATE((INDEX($A$7:$A$33,SMALL(IF($N$7:$N$33&lt;&gt;"",IF($K$7:$K$33&lt;&gt;"",ROW($K$7:$K$33)-MIN(ROW($K$7:$K$33))+1,""),""),ROW()-ROW(A$36)+1))),),"")</f>
        <v>0</v>
      </c>
      <c r="P44">
        <f t="array" ref="P44">IFERROR(CONCATENATE((INDEX($S$7:$S$33,SMALL(IF($S$7:$S$33&lt;&gt;"",IF($P$7:$P$33&lt;&gt;"",ROW($P$7:$P$33)-MIN(ROW($P$7:$P$33))+1,""),""),ROW()-ROW(A$36)+1)))," "),"")</f>
        <v>0</v>
      </c>
      <c r="Q44">
        <f t="array" ref="Q44">IFERROR(CONCATENATE(TEXT(INDEX($P$7:$P$33,SMALL(IF($S$7:$S$33&lt;&gt;"",IF($P$7:$P$33&lt;&gt;"",ROW($P$7:$P$33)-MIN(ROW($P$7:$P$33))+1,""),""),ROW()-ROW(A$36)+1)),"##0")," "),"")</f>
        <v>0</v>
      </c>
      <c r="R44">
        <f t="array" ref="R44">IFERROR(CONCATENATE((INDEX($A$7:$A$33,SMALL(IF($S$7:$S$33&lt;&gt;"",IF($P$7:$P$33&lt;&gt;"",ROW($P$7:$P$33)-MIN(ROW($P$7:$P$33))+1,""),""),ROW()-ROW(A$36)+1))),),"")</f>
        <v>0</v>
      </c>
      <c r="U44">
        <f t="array" ref="U44">IFERROR(CONCATENATE((INDEX($X$7:$X$33,SMALL(IF($X$7:$X$33&lt;&gt;"",IF($U$7:$U$33&lt;&gt;"",ROW($U$7:$U$33)-MIN(ROW($U$7:$U$33))+1,""),""),ROW()-ROW(A$36)+1)))," "),"")</f>
        <v>0</v>
      </c>
      <c r="V44">
        <f t="array" ref="V44">IFERROR(CONCATENATE(TEXT(INDEX($U$7:$U$33,SMALL(IF($X$7:$X$33&lt;&gt;"",IF($U$7:$U$33&lt;&gt;"",ROW($U$7:$U$33)-MIN(ROW($U$7:$U$33))+1,""),""),ROW()-ROW(A$36)+1)),"##0")," "),"")</f>
        <v>0</v>
      </c>
      <c r="W44">
        <f t="array" ref="W44">IFERROR(CONCATENATE((INDEX($A$7:$A$33,SMALL(IF($X$7:$X$33&lt;&gt;"",IF($U$7:$U$33&lt;&gt;"",ROW($U$7:$U$33)-MIN(ROW($U$7:$U$33))+1,""),""),ROW()-ROW(A$36)+1))),),"")</f>
        <v>0</v>
      </c>
      <c r="Z44">
        <f t="array" ref="Z44">IFERROR(CONCATENATE((INDEX($AC$7:$AC$33,SMALL(IF($AC$7:$AC$33&lt;&gt;"",IF($Z$7:$Z$33&lt;&gt;"",ROW($Z$7:$Z$33)-MIN(ROW($Z$7:$Z$33))+1,""),""),ROW()-ROW(A$36)+1))),","),"")</f>
        <v>0</v>
      </c>
      <c r="AA44">
        <f t="array" ref="AA44">IFERROR(CONCATENATE(TEXT(INDEX($Z$7:$Z$33,SMALL(IF($AC$7:$AC$33&lt;&gt;"",IF($Z$7:$Z$33&lt;&gt;"",ROW($Z$7:$Z$33)-MIN(ROW($Z$7:$Z$33))+1,""),""),ROW()-ROW(A$36)+1)),"##0"),","),"")</f>
        <v>0</v>
      </c>
      <c r="AB44">
        <f t="array" ref="AB44">IFERROR(CONCATENATE((INDEX($A$7:$A$33,SMALL(IF($AC$7:$AC$33&lt;&gt;"",IF($Z$7:$Z$33&lt;&gt;"",ROW($Z$7:$Z$33)-MIN(ROW($Z$7:$Z$33))+1,""),""),ROW()-ROW(A$36)+1))),),"")</f>
        <v>0</v>
      </c>
      <c r="AE44">
        <f t="array" ref="AE44">IFERROR(CONCATENATE((INDEX($AH$7:$AH$33,SMALL(IF($AH$7:$AH$33&lt;&gt;"",IF($AE$7:$AE$33&lt;&gt;"",ROW($AE$7:$AE$33)-MIN(ROW($AE$7:$AE$33))+1,""),""),ROW()-ROW(A$36)+1)))," "),"")</f>
        <v>0</v>
      </c>
      <c r="AF44">
        <f t="array" ref="AF44">IFERROR(CONCATENATE(TEXT(INDEX($AE$7:$AE$33,SMALL(IF($AH$7:$AH$33&lt;&gt;"",IF($AE$7:$AE$33&lt;&gt;"",ROW($AE$7:$AE$33)-MIN(ROW($AE$7:$AE$33))+1,""),""),ROW()-ROW(A$36)+1)),"##0")," "),"")</f>
        <v>0</v>
      </c>
      <c r="AG44">
        <f t="array" ref="AG44">IFERROR(CONCATENATE((INDEX($A$7:$A$33,SMALL(IF($AH$7:$AH$33&lt;&gt;"",IF($AE$7:$AE$33&lt;&gt;"",ROW($AE$7:$AE$33)-MIN(ROW($AE$7:$AE$33))+1,""),""),ROW()-ROW(A$36)+1))),),"")</f>
        <v>0</v>
      </c>
      <c r="AJ44">
        <f t="array" ref="AJ44">IFERROR(CONCATENATE((INDEX($AM$7:$AM$33,SMALL(IF($AM$7:$AM$33&lt;&gt;"",IF($AJ$7:$AJ$33&lt;&gt;"",ROW($AJ$7:$AJ$33)-MIN(ROW($AJ$7:$AJ$33))+1,""),""),ROW()-ROW(A$36)+1)))," "),"")</f>
        <v>0</v>
      </c>
      <c r="AK44">
        <f t="array" ref="AK44">IFERROR(CONCATENATE(TEXT(INDEX($AJ$7:$AJ$33,SMALL(IF($AM$7:$AM$33&lt;&gt;"",IF($AJ$7:$AJ$33&lt;&gt;"",ROW($AJ$7:$AJ$33)-MIN(ROW($AJ$7:$AJ$33))+1,""),""),ROW()-ROW(A$36)+1)),"##0")," "),"")</f>
        <v>0</v>
      </c>
      <c r="AL44">
        <f t="array" ref="AL44">IFERROR(CONCATENATE((INDEX($A$7:$A$33,SMALL(IF($AM$7:$AM$33&lt;&gt;"",IF($AJ$7:$AJ$33&lt;&gt;"",ROW($AJ$7:$AJ$33)-MIN(ROW($AJ$7:$AJ$33))+1,""),""),ROW()-ROW(A$36)+1))),),"")</f>
        <v>0</v>
      </c>
    </row>
    <row r="45" spans="1:38">
      <c r="K45">
        <f t="array" ref="K45">IFERROR(CONCATENATE(TEXT(INDEX($K$7:$K$33,SMALL(IF($N$7:$N$33&lt;&gt;"",IF($K$7:$K$33&lt;&gt;"",ROW($K$7:$K$33)-MIN(ROW($K$7:$K$33))+1,""),""),ROW()-ROW(A$36)+1)),"##0"),","),"")</f>
        <v>0</v>
      </c>
      <c r="L45">
        <f t="array" ref="L45">IFERROR(CONCATENATE((INDEX($N$7:$N$33,SMALL(IF($N$7:$N$33&lt;&gt;"",IF($K$7:$K$33&lt;&gt;"",ROW($K$7:$K$33)-MIN(ROW($K$7:$K$33))+1,""),""),ROW()-ROW(A$36)+1))),","),"")</f>
        <v>0</v>
      </c>
      <c r="M45">
        <f t="array" ref="M45">IFERROR(CONCATENATE((INDEX($A$7:$A$33,SMALL(IF($N$7:$N$33&lt;&gt;"",IF($K$7:$K$33&lt;&gt;"",ROW($K$7:$K$33)-MIN(ROW($K$7:$K$33))+1,""),""),ROW()-ROW(A$36)+1))),),"")</f>
        <v>0</v>
      </c>
      <c r="P45">
        <f t="array" ref="P45">IFERROR(CONCATENATE((INDEX($S$7:$S$33,SMALL(IF($S$7:$S$33&lt;&gt;"",IF($P$7:$P$33&lt;&gt;"",ROW($P$7:$P$33)-MIN(ROW($P$7:$P$33))+1,""),""),ROW()-ROW(A$36)+1)))," "),"")</f>
        <v>0</v>
      </c>
      <c r="Q45">
        <f t="array" ref="Q45">IFERROR(CONCATENATE(TEXT(INDEX($P$7:$P$33,SMALL(IF($S$7:$S$33&lt;&gt;"",IF($P$7:$P$33&lt;&gt;"",ROW($P$7:$P$33)-MIN(ROW($P$7:$P$33))+1,""),""),ROW()-ROW(A$36)+1)),"##0")," "),"")</f>
        <v>0</v>
      </c>
      <c r="R45">
        <f t="array" ref="R45">IFERROR(CONCATENATE((INDEX($A$7:$A$33,SMALL(IF($S$7:$S$33&lt;&gt;"",IF($P$7:$P$33&lt;&gt;"",ROW($P$7:$P$33)-MIN(ROW($P$7:$P$33))+1,""),""),ROW()-ROW(A$36)+1))),),"")</f>
        <v>0</v>
      </c>
      <c r="U45">
        <f t="array" ref="U45">IFERROR(CONCATENATE((INDEX($X$7:$X$33,SMALL(IF($X$7:$X$33&lt;&gt;"",IF($U$7:$U$33&lt;&gt;"",ROW($U$7:$U$33)-MIN(ROW($U$7:$U$33))+1,""),""),ROW()-ROW(A$36)+1)))," "),"")</f>
        <v>0</v>
      </c>
      <c r="V45">
        <f t="array" ref="V45">IFERROR(CONCATENATE(TEXT(INDEX($U$7:$U$33,SMALL(IF($X$7:$X$33&lt;&gt;"",IF($U$7:$U$33&lt;&gt;"",ROW($U$7:$U$33)-MIN(ROW($U$7:$U$33))+1,""),""),ROW()-ROW(A$36)+1)),"##0")," "),"")</f>
        <v>0</v>
      </c>
      <c r="W45">
        <f t="array" ref="W45">IFERROR(CONCATENATE((INDEX($A$7:$A$33,SMALL(IF($X$7:$X$33&lt;&gt;"",IF($U$7:$U$33&lt;&gt;"",ROW($U$7:$U$33)-MIN(ROW($U$7:$U$33))+1,""),""),ROW()-ROW(A$36)+1))),),"")</f>
        <v>0</v>
      </c>
      <c r="Z45">
        <f t="array" ref="Z45">IFERROR(CONCATENATE((INDEX($AC$7:$AC$33,SMALL(IF($AC$7:$AC$33&lt;&gt;"",IF($Z$7:$Z$33&lt;&gt;"",ROW($Z$7:$Z$33)-MIN(ROW($Z$7:$Z$33))+1,""),""),ROW()-ROW(A$36)+1))),","),"")</f>
        <v>0</v>
      </c>
      <c r="AA45">
        <f t="array" ref="AA45">IFERROR(CONCATENATE(TEXT(INDEX($Z$7:$Z$33,SMALL(IF($AC$7:$AC$33&lt;&gt;"",IF($Z$7:$Z$33&lt;&gt;"",ROW($Z$7:$Z$33)-MIN(ROW($Z$7:$Z$33))+1,""),""),ROW()-ROW(A$36)+1)),"##0"),","),"")</f>
        <v>0</v>
      </c>
      <c r="AB45">
        <f t="array" ref="AB45">IFERROR(CONCATENATE((INDEX($A$7:$A$33,SMALL(IF($AC$7:$AC$33&lt;&gt;"",IF($Z$7:$Z$33&lt;&gt;"",ROW($Z$7:$Z$33)-MIN(ROW($Z$7:$Z$33))+1,""),""),ROW()-ROW(A$36)+1))),),"")</f>
        <v>0</v>
      </c>
      <c r="AE45">
        <f t="array" ref="AE45">IFERROR(CONCATENATE((INDEX($AH$7:$AH$33,SMALL(IF($AH$7:$AH$33&lt;&gt;"",IF($AE$7:$AE$33&lt;&gt;"",ROW($AE$7:$AE$33)-MIN(ROW($AE$7:$AE$33))+1,""),""),ROW()-ROW(A$36)+1)))," "),"")</f>
        <v>0</v>
      </c>
      <c r="AF45">
        <f t="array" ref="AF45">IFERROR(CONCATENATE(TEXT(INDEX($AE$7:$AE$33,SMALL(IF($AH$7:$AH$33&lt;&gt;"",IF($AE$7:$AE$33&lt;&gt;"",ROW($AE$7:$AE$33)-MIN(ROW($AE$7:$AE$33))+1,""),""),ROW()-ROW(A$36)+1)),"##0")," "),"")</f>
        <v>0</v>
      </c>
      <c r="AG45">
        <f t="array" ref="AG45">IFERROR(CONCATENATE((INDEX($A$7:$A$33,SMALL(IF($AH$7:$AH$33&lt;&gt;"",IF($AE$7:$AE$33&lt;&gt;"",ROW($AE$7:$AE$33)-MIN(ROW($AE$7:$AE$33))+1,""),""),ROW()-ROW(A$36)+1))),),"")</f>
        <v>0</v>
      </c>
      <c r="AJ45">
        <f t="array" ref="AJ45">IFERROR(CONCATENATE((INDEX($AM$7:$AM$33,SMALL(IF($AM$7:$AM$33&lt;&gt;"",IF($AJ$7:$AJ$33&lt;&gt;"",ROW($AJ$7:$AJ$33)-MIN(ROW($AJ$7:$AJ$33))+1,""),""),ROW()-ROW(A$36)+1)))," "),"")</f>
        <v>0</v>
      </c>
      <c r="AK45">
        <f t="array" ref="AK45">IFERROR(CONCATENATE(TEXT(INDEX($AJ$7:$AJ$33,SMALL(IF($AM$7:$AM$33&lt;&gt;"",IF($AJ$7:$AJ$33&lt;&gt;"",ROW($AJ$7:$AJ$33)-MIN(ROW($AJ$7:$AJ$33))+1,""),""),ROW()-ROW(A$36)+1)),"##0")," "),"")</f>
        <v>0</v>
      </c>
      <c r="AL45">
        <f t="array" ref="AL45">IFERROR(CONCATENATE((INDEX($A$7:$A$33,SMALL(IF($AM$7:$AM$33&lt;&gt;"",IF($AJ$7:$AJ$33&lt;&gt;"",ROW($AJ$7:$AJ$33)-MIN(ROW($AJ$7:$AJ$33))+1,""),""),ROW()-ROW(A$36)+1))),),"")</f>
        <v>0</v>
      </c>
    </row>
    <row r="46" spans="1:38">
      <c r="K46">
        <f t="array" ref="K46">IFERROR(CONCATENATE(TEXT(INDEX($K$7:$K$33,SMALL(IF($N$7:$N$33&lt;&gt;"",IF($K$7:$K$33&lt;&gt;"",ROW($K$7:$K$33)-MIN(ROW($K$7:$K$33))+1,""),""),ROW()-ROW(A$36)+1)),"##0"),","),"")</f>
        <v>0</v>
      </c>
      <c r="L46">
        <f t="array" ref="L46">IFERROR(CONCATENATE((INDEX($N$7:$N$33,SMALL(IF($N$7:$N$33&lt;&gt;"",IF($K$7:$K$33&lt;&gt;"",ROW($K$7:$K$33)-MIN(ROW($K$7:$K$33))+1,""),""),ROW()-ROW(A$36)+1))),","),"")</f>
        <v>0</v>
      </c>
      <c r="M46">
        <f t="array" ref="M46">IFERROR(CONCATENATE((INDEX($A$7:$A$33,SMALL(IF($N$7:$N$33&lt;&gt;"",IF($K$7:$K$33&lt;&gt;"",ROW($K$7:$K$33)-MIN(ROW($K$7:$K$33))+1,""),""),ROW()-ROW(A$36)+1))),),"")</f>
        <v>0</v>
      </c>
      <c r="P46">
        <f t="array" ref="P46">IFERROR(CONCATENATE((INDEX($S$7:$S$33,SMALL(IF($S$7:$S$33&lt;&gt;"",IF($P$7:$P$33&lt;&gt;"",ROW($P$7:$P$33)-MIN(ROW($P$7:$P$33))+1,""),""),ROW()-ROW(A$36)+1)))," "),"")</f>
        <v>0</v>
      </c>
      <c r="Q46">
        <f t="array" ref="Q46">IFERROR(CONCATENATE(TEXT(INDEX($P$7:$P$33,SMALL(IF($S$7:$S$33&lt;&gt;"",IF($P$7:$P$33&lt;&gt;"",ROW($P$7:$P$33)-MIN(ROW($P$7:$P$33))+1,""),""),ROW()-ROW(A$36)+1)),"##0")," "),"")</f>
        <v>0</v>
      </c>
      <c r="R46">
        <f t="array" ref="R46">IFERROR(CONCATENATE((INDEX($A$7:$A$33,SMALL(IF($S$7:$S$33&lt;&gt;"",IF($P$7:$P$33&lt;&gt;"",ROW($P$7:$P$33)-MIN(ROW($P$7:$P$33))+1,""),""),ROW()-ROW(A$36)+1))),),"")</f>
        <v>0</v>
      </c>
      <c r="U46">
        <f t="array" ref="U46">IFERROR(CONCATENATE((INDEX($X$7:$X$33,SMALL(IF($X$7:$X$33&lt;&gt;"",IF($U$7:$U$33&lt;&gt;"",ROW($U$7:$U$33)-MIN(ROW($U$7:$U$33))+1,""),""),ROW()-ROW(A$36)+1)))," "),"")</f>
        <v>0</v>
      </c>
      <c r="V46">
        <f t="array" ref="V46">IFERROR(CONCATENATE(TEXT(INDEX($U$7:$U$33,SMALL(IF($X$7:$X$33&lt;&gt;"",IF($U$7:$U$33&lt;&gt;"",ROW($U$7:$U$33)-MIN(ROW($U$7:$U$33))+1,""),""),ROW()-ROW(A$36)+1)),"##0")," "),"")</f>
        <v>0</v>
      </c>
      <c r="W46">
        <f t="array" ref="W46">IFERROR(CONCATENATE((INDEX($A$7:$A$33,SMALL(IF($X$7:$X$33&lt;&gt;"",IF($U$7:$U$33&lt;&gt;"",ROW($U$7:$U$33)-MIN(ROW($U$7:$U$33))+1,""),""),ROW()-ROW(A$36)+1))),),"")</f>
        <v>0</v>
      </c>
      <c r="Z46">
        <f t="array" ref="Z46">IFERROR(CONCATENATE((INDEX($AC$7:$AC$33,SMALL(IF($AC$7:$AC$33&lt;&gt;"",IF($Z$7:$Z$33&lt;&gt;"",ROW($Z$7:$Z$33)-MIN(ROW($Z$7:$Z$33))+1,""),""),ROW()-ROW(A$36)+1))),","),"")</f>
        <v>0</v>
      </c>
      <c r="AA46">
        <f t="array" ref="AA46">IFERROR(CONCATENATE(TEXT(INDEX($Z$7:$Z$33,SMALL(IF($AC$7:$AC$33&lt;&gt;"",IF($Z$7:$Z$33&lt;&gt;"",ROW($Z$7:$Z$33)-MIN(ROW($Z$7:$Z$33))+1,""),""),ROW()-ROW(A$36)+1)),"##0"),","),"")</f>
        <v>0</v>
      </c>
      <c r="AB46">
        <f t="array" ref="AB46">IFERROR(CONCATENATE((INDEX($A$7:$A$33,SMALL(IF($AC$7:$AC$33&lt;&gt;"",IF($Z$7:$Z$33&lt;&gt;"",ROW($Z$7:$Z$33)-MIN(ROW($Z$7:$Z$33))+1,""),""),ROW()-ROW(A$36)+1))),),"")</f>
        <v>0</v>
      </c>
      <c r="AE46">
        <f t="array" ref="AE46">IFERROR(CONCATENATE((INDEX($AH$7:$AH$33,SMALL(IF($AH$7:$AH$33&lt;&gt;"",IF($AE$7:$AE$33&lt;&gt;"",ROW($AE$7:$AE$33)-MIN(ROW($AE$7:$AE$33))+1,""),""),ROW()-ROW(A$36)+1)))," "),"")</f>
        <v>0</v>
      </c>
      <c r="AF46">
        <f t="array" ref="AF46">IFERROR(CONCATENATE(TEXT(INDEX($AE$7:$AE$33,SMALL(IF($AH$7:$AH$33&lt;&gt;"",IF($AE$7:$AE$33&lt;&gt;"",ROW($AE$7:$AE$33)-MIN(ROW($AE$7:$AE$33))+1,""),""),ROW()-ROW(A$36)+1)),"##0")," "),"")</f>
        <v>0</v>
      </c>
      <c r="AG46">
        <f t="array" ref="AG46">IFERROR(CONCATENATE((INDEX($A$7:$A$33,SMALL(IF($AH$7:$AH$33&lt;&gt;"",IF($AE$7:$AE$33&lt;&gt;"",ROW($AE$7:$AE$33)-MIN(ROW($AE$7:$AE$33))+1,""),""),ROW()-ROW(A$36)+1))),),"")</f>
        <v>0</v>
      </c>
      <c r="AJ46">
        <f t="array" ref="AJ46">IFERROR(CONCATENATE((INDEX($AM$7:$AM$33,SMALL(IF($AM$7:$AM$33&lt;&gt;"",IF($AJ$7:$AJ$33&lt;&gt;"",ROW($AJ$7:$AJ$33)-MIN(ROW($AJ$7:$AJ$33))+1,""),""),ROW()-ROW(A$36)+1)))," "),"")</f>
        <v>0</v>
      </c>
      <c r="AK46">
        <f t="array" ref="AK46">IFERROR(CONCATENATE(TEXT(INDEX($AJ$7:$AJ$33,SMALL(IF($AM$7:$AM$33&lt;&gt;"",IF($AJ$7:$AJ$33&lt;&gt;"",ROW($AJ$7:$AJ$33)-MIN(ROW($AJ$7:$AJ$33))+1,""),""),ROW()-ROW(A$36)+1)),"##0")," "),"")</f>
        <v>0</v>
      </c>
      <c r="AL46">
        <f t="array" ref="AL46">IFERROR(CONCATENATE((INDEX($A$7:$A$33,SMALL(IF($AM$7:$AM$33&lt;&gt;"",IF($AJ$7:$AJ$33&lt;&gt;"",ROW($AJ$7:$AJ$33)-MIN(ROW($AJ$7:$AJ$33))+1,""),""),ROW()-ROW(A$36)+1))),),"")</f>
        <v>0</v>
      </c>
    </row>
    <row r="47" spans="1:38">
      <c r="K47">
        <f t="array" ref="K47">IFERROR(CONCATENATE(TEXT(INDEX($K$7:$K$33,SMALL(IF($N$7:$N$33&lt;&gt;"",IF($K$7:$K$33&lt;&gt;"",ROW($K$7:$K$33)-MIN(ROW($K$7:$K$33))+1,""),""),ROW()-ROW(A$36)+1)),"##0"),","),"")</f>
        <v>0</v>
      </c>
      <c r="L47">
        <f t="array" ref="L47">IFERROR(CONCATENATE((INDEX($N$7:$N$33,SMALL(IF($N$7:$N$33&lt;&gt;"",IF($K$7:$K$33&lt;&gt;"",ROW($K$7:$K$33)-MIN(ROW($K$7:$K$33))+1,""),""),ROW()-ROW(A$36)+1))),","),"")</f>
        <v>0</v>
      </c>
      <c r="M47">
        <f t="array" ref="M47">IFERROR(CONCATENATE((INDEX($A$7:$A$33,SMALL(IF($N$7:$N$33&lt;&gt;"",IF($K$7:$K$33&lt;&gt;"",ROW($K$7:$K$33)-MIN(ROW($K$7:$K$33))+1,""),""),ROW()-ROW(A$36)+1))),),"")</f>
        <v>0</v>
      </c>
      <c r="P47">
        <f t="array" ref="P47">IFERROR(CONCATENATE((INDEX($S$7:$S$33,SMALL(IF($S$7:$S$33&lt;&gt;"",IF($P$7:$P$33&lt;&gt;"",ROW($P$7:$P$33)-MIN(ROW($P$7:$P$33))+1,""),""),ROW()-ROW(A$36)+1)))," "),"")</f>
        <v>0</v>
      </c>
      <c r="Q47">
        <f t="array" ref="Q47">IFERROR(CONCATENATE(TEXT(INDEX($P$7:$P$33,SMALL(IF($S$7:$S$33&lt;&gt;"",IF($P$7:$P$33&lt;&gt;"",ROW($P$7:$P$33)-MIN(ROW($P$7:$P$33))+1,""),""),ROW()-ROW(A$36)+1)),"##0")," "),"")</f>
        <v>0</v>
      </c>
      <c r="R47">
        <f t="array" ref="R47">IFERROR(CONCATENATE((INDEX($A$7:$A$33,SMALL(IF($S$7:$S$33&lt;&gt;"",IF($P$7:$P$33&lt;&gt;"",ROW($P$7:$P$33)-MIN(ROW($P$7:$P$33))+1,""),""),ROW()-ROW(A$36)+1))),),"")</f>
        <v>0</v>
      </c>
      <c r="U47">
        <f t="array" ref="U47">IFERROR(CONCATENATE((INDEX($X$7:$X$33,SMALL(IF($X$7:$X$33&lt;&gt;"",IF($U$7:$U$33&lt;&gt;"",ROW($U$7:$U$33)-MIN(ROW($U$7:$U$33))+1,""),""),ROW()-ROW(A$36)+1)))," "),"")</f>
        <v>0</v>
      </c>
      <c r="V47">
        <f t="array" ref="V47">IFERROR(CONCATENATE(TEXT(INDEX($U$7:$U$33,SMALL(IF($X$7:$X$33&lt;&gt;"",IF($U$7:$U$33&lt;&gt;"",ROW($U$7:$U$33)-MIN(ROW($U$7:$U$33))+1,""),""),ROW()-ROW(A$36)+1)),"##0")," "),"")</f>
        <v>0</v>
      </c>
      <c r="W47">
        <f t="array" ref="W47">IFERROR(CONCATENATE((INDEX($A$7:$A$33,SMALL(IF($X$7:$X$33&lt;&gt;"",IF($U$7:$U$33&lt;&gt;"",ROW($U$7:$U$33)-MIN(ROW($U$7:$U$33))+1,""),""),ROW()-ROW(A$36)+1))),),"")</f>
        <v>0</v>
      </c>
      <c r="Z47">
        <f t="array" ref="Z47">IFERROR(CONCATENATE((INDEX($AC$7:$AC$33,SMALL(IF($AC$7:$AC$33&lt;&gt;"",IF($Z$7:$Z$33&lt;&gt;"",ROW($Z$7:$Z$33)-MIN(ROW($Z$7:$Z$33))+1,""),""),ROW()-ROW(A$36)+1))),","),"")</f>
        <v>0</v>
      </c>
      <c r="AA47">
        <f t="array" ref="AA47">IFERROR(CONCATENATE(TEXT(INDEX($Z$7:$Z$33,SMALL(IF($AC$7:$AC$33&lt;&gt;"",IF($Z$7:$Z$33&lt;&gt;"",ROW($Z$7:$Z$33)-MIN(ROW($Z$7:$Z$33))+1,""),""),ROW()-ROW(A$36)+1)),"##0"),","),"")</f>
        <v>0</v>
      </c>
      <c r="AB47">
        <f t="array" ref="AB47">IFERROR(CONCATENATE((INDEX($A$7:$A$33,SMALL(IF($AC$7:$AC$33&lt;&gt;"",IF($Z$7:$Z$33&lt;&gt;"",ROW($Z$7:$Z$33)-MIN(ROW($Z$7:$Z$33))+1,""),""),ROW()-ROW(A$36)+1))),),"")</f>
        <v>0</v>
      </c>
      <c r="AE47">
        <f t="array" ref="AE47">IFERROR(CONCATENATE((INDEX($AH$7:$AH$33,SMALL(IF($AH$7:$AH$33&lt;&gt;"",IF($AE$7:$AE$33&lt;&gt;"",ROW($AE$7:$AE$33)-MIN(ROW($AE$7:$AE$33))+1,""),""),ROW()-ROW(A$36)+1)))," "),"")</f>
        <v>0</v>
      </c>
      <c r="AF47">
        <f t="array" ref="AF47">IFERROR(CONCATENATE(TEXT(INDEX($AE$7:$AE$33,SMALL(IF($AH$7:$AH$33&lt;&gt;"",IF($AE$7:$AE$33&lt;&gt;"",ROW($AE$7:$AE$33)-MIN(ROW($AE$7:$AE$33))+1,""),""),ROW()-ROW(A$36)+1)),"##0")," "),"")</f>
        <v>0</v>
      </c>
      <c r="AG47">
        <f t="array" ref="AG47">IFERROR(CONCATENATE((INDEX($A$7:$A$33,SMALL(IF($AH$7:$AH$33&lt;&gt;"",IF($AE$7:$AE$33&lt;&gt;"",ROW($AE$7:$AE$33)-MIN(ROW($AE$7:$AE$33))+1,""),""),ROW()-ROW(A$36)+1))),),"")</f>
        <v>0</v>
      </c>
      <c r="AJ47">
        <f t="array" ref="AJ47">IFERROR(CONCATENATE((INDEX($AM$7:$AM$33,SMALL(IF($AM$7:$AM$33&lt;&gt;"",IF($AJ$7:$AJ$33&lt;&gt;"",ROW($AJ$7:$AJ$33)-MIN(ROW($AJ$7:$AJ$33))+1,""),""),ROW()-ROW(A$36)+1)))," "),"")</f>
        <v>0</v>
      </c>
      <c r="AK47">
        <f t="array" ref="AK47">IFERROR(CONCATENATE(TEXT(INDEX($AJ$7:$AJ$33,SMALL(IF($AM$7:$AM$33&lt;&gt;"",IF($AJ$7:$AJ$33&lt;&gt;"",ROW($AJ$7:$AJ$33)-MIN(ROW($AJ$7:$AJ$33))+1,""),""),ROW()-ROW(A$36)+1)),"##0")," "),"")</f>
        <v>0</v>
      </c>
      <c r="AL47">
        <f t="array" ref="AL47">IFERROR(CONCATENATE((INDEX($A$7:$A$33,SMALL(IF($AM$7:$AM$33&lt;&gt;"",IF($AJ$7:$AJ$33&lt;&gt;"",ROW($AJ$7:$AJ$33)-MIN(ROW($AJ$7:$AJ$33))+1,""),""),ROW()-ROW(A$36)+1))),),"")</f>
        <v>0</v>
      </c>
    </row>
    <row r="48" spans="1:38">
      <c r="K48">
        <f t="array" ref="K48">IFERROR(CONCATENATE(TEXT(INDEX($K$7:$K$33,SMALL(IF($N$7:$N$33&lt;&gt;"",IF($K$7:$K$33&lt;&gt;"",ROW($K$7:$K$33)-MIN(ROW($K$7:$K$33))+1,""),""),ROW()-ROW(A$36)+1)),"##0"),","),"")</f>
        <v>0</v>
      </c>
      <c r="L48">
        <f t="array" ref="L48">IFERROR(CONCATENATE((INDEX($N$7:$N$33,SMALL(IF($N$7:$N$33&lt;&gt;"",IF($K$7:$K$33&lt;&gt;"",ROW($K$7:$K$33)-MIN(ROW($K$7:$K$33))+1,""),""),ROW()-ROW(A$36)+1))),","),"")</f>
        <v>0</v>
      </c>
      <c r="M48">
        <f t="array" ref="M48">IFERROR(CONCATENATE((INDEX($A$7:$A$33,SMALL(IF($N$7:$N$33&lt;&gt;"",IF($K$7:$K$33&lt;&gt;"",ROW($K$7:$K$33)-MIN(ROW($K$7:$K$33))+1,""),""),ROW()-ROW(A$36)+1))),),"")</f>
        <v>0</v>
      </c>
      <c r="P48">
        <f t="array" ref="P48">IFERROR(CONCATENATE((INDEX($S$7:$S$33,SMALL(IF($S$7:$S$33&lt;&gt;"",IF($P$7:$P$33&lt;&gt;"",ROW($P$7:$P$33)-MIN(ROW($P$7:$P$33))+1,""),""),ROW()-ROW(A$36)+1)))," "),"")</f>
        <v>0</v>
      </c>
      <c r="Q48">
        <f t="array" ref="Q48">IFERROR(CONCATENATE(TEXT(INDEX($P$7:$P$33,SMALL(IF($S$7:$S$33&lt;&gt;"",IF($P$7:$P$33&lt;&gt;"",ROW($P$7:$P$33)-MIN(ROW($P$7:$P$33))+1,""),""),ROW()-ROW(A$36)+1)),"##0")," "),"")</f>
        <v>0</v>
      </c>
      <c r="R48">
        <f t="array" ref="R48">IFERROR(CONCATENATE((INDEX($A$7:$A$33,SMALL(IF($S$7:$S$33&lt;&gt;"",IF($P$7:$P$33&lt;&gt;"",ROW($P$7:$P$33)-MIN(ROW($P$7:$P$33))+1,""),""),ROW()-ROW(A$36)+1))),),"")</f>
        <v>0</v>
      </c>
      <c r="U48">
        <f t="array" ref="U48">IFERROR(CONCATENATE((INDEX($X$7:$X$33,SMALL(IF($X$7:$X$33&lt;&gt;"",IF($U$7:$U$33&lt;&gt;"",ROW($U$7:$U$33)-MIN(ROW($U$7:$U$33))+1,""),""),ROW()-ROW(A$36)+1)))," "),"")</f>
        <v>0</v>
      </c>
      <c r="V48">
        <f t="array" ref="V48">IFERROR(CONCATENATE(TEXT(INDEX($U$7:$U$33,SMALL(IF($X$7:$X$33&lt;&gt;"",IF($U$7:$U$33&lt;&gt;"",ROW($U$7:$U$33)-MIN(ROW($U$7:$U$33))+1,""),""),ROW()-ROW(A$36)+1)),"##0")," "),"")</f>
        <v>0</v>
      </c>
      <c r="W48">
        <f t="array" ref="W48">IFERROR(CONCATENATE((INDEX($A$7:$A$33,SMALL(IF($X$7:$X$33&lt;&gt;"",IF($U$7:$U$33&lt;&gt;"",ROW($U$7:$U$33)-MIN(ROW($U$7:$U$33))+1,""),""),ROW()-ROW(A$36)+1))),),"")</f>
        <v>0</v>
      </c>
      <c r="Z48">
        <f t="array" ref="Z48">IFERROR(CONCATENATE((INDEX($AC$7:$AC$33,SMALL(IF($AC$7:$AC$33&lt;&gt;"",IF($Z$7:$Z$33&lt;&gt;"",ROW($Z$7:$Z$33)-MIN(ROW($Z$7:$Z$33))+1,""),""),ROW()-ROW(A$36)+1))),","),"")</f>
        <v>0</v>
      </c>
      <c r="AA48">
        <f t="array" ref="AA48">IFERROR(CONCATENATE(TEXT(INDEX($Z$7:$Z$33,SMALL(IF($AC$7:$AC$33&lt;&gt;"",IF($Z$7:$Z$33&lt;&gt;"",ROW($Z$7:$Z$33)-MIN(ROW($Z$7:$Z$33))+1,""),""),ROW()-ROW(A$36)+1)),"##0"),","),"")</f>
        <v>0</v>
      </c>
      <c r="AB48">
        <f t="array" ref="AB48">IFERROR(CONCATENATE((INDEX($A$7:$A$33,SMALL(IF($AC$7:$AC$33&lt;&gt;"",IF($Z$7:$Z$33&lt;&gt;"",ROW($Z$7:$Z$33)-MIN(ROW($Z$7:$Z$33))+1,""),""),ROW()-ROW(A$36)+1))),),"")</f>
        <v>0</v>
      </c>
      <c r="AE48">
        <f t="array" ref="AE48">IFERROR(CONCATENATE((INDEX($AH$7:$AH$33,SMALL(IF($AH$7:$AH$33&lt;&gt;"",IF($AE$7:$AE$33&lt;&gt;"",ROW($AE$7:$AE$33)-MIN(ROW($AE$7:$AE$33))+1,""),""),ROW()-ROW(A$36)+1)))," "),"")</f>
        <v>0</v>
      </c>
      <c r="AF48">
        <f t="array" ref="AF48">IFERROR(CONCATENATE(TEXT(INDEX($AE$7:$AE$33,SMALL(IF($AH$7:$AH$33&lt;&gt;"",IF($AE$7:$AE$33&lt;&gt;"",ROW($AE$7:$AE$33)-MIN(ROW($AE$7:$AE$33))+1,""),""),ROW()-ROW(A$36)+1)),"##0")," "),"")</f>
        <v>0</v>
      </c>
      <c r="AG48">
        <f t="array" ref="AG48">IFERROR(CONCATENATE((INDEX($A$7:$A$33,SMALL(IF($AH$7:$AH$33&lt;&gt;"",IF($AE$7:$AE$33&lt;&gt;"",ROW($AE$7:$AE$33)-MIN(ROW($AE$7:$AE$33))+1,""),""),ROW()-ROW(A$36)+1))),),"")</f>
        <v>0</v>
      </c>
      <c r="AJ48">
        <f t="array" ref="AJ48">IFERROR(CONCATENATE((INDEX($AM$7:$AM$33,SMALL(IF($AM$7:$AM$33&lt;&gt;"",IF($AJ$7:$AJ$33&lt;&gt;"",ROW($AJ$7:$AJ$33)-MIN(ROW($AJ$7:$AJ$33))+1,""),""),ROW()-ROW(A$36)+1)))," "),"")</f>
        <v>0</v>
      </c>
      <c r="AK48">
        <f t="array" ref="AK48">IFERROR(CONCATENATE(TEXT(INDEX($AJ$7:$AJ$33,SMALL(IF($AM$7:$AM$33&lt;&gt;"",IF($AJ$7:$AJ$33&lt;&gt;"",ROW($AJ$7:$AJ$33)-MIN(ROW($AJ$7:$AJ$33))+1,""),""),ROW()-ROW(A$36)+1)),"##0")," "),"")</f>
        <v>0</v>
      </c>
      <c r="AL48">
        <f t="array" ref="AL48">IFERROR(CONCATENATE((INDEX($A$7:$A$33,SMALL(IF($AM$7:$AM$33&lt;&gt;"",IF($AJ$7:$AJ$33&lt;&gt;"",ROW($AJ$7:$AJ$33)-MIN(ROW($AJ$7:$AJ$33))+1,""),""),ROW()-ROW(A$36)+1))),),"")</f>
        <v>0</v>
      </c>
    </row>
    <row r="49" spans="11:38">
      <c r="K49">
        <f t="array" ref="K49">IFERROR(CONCATENATE(TEXT(INDEX($K$7:$K$33,SMALL(IF($N$7:$N$33&lt;&gt;"",IF($K$7:$K$33&lt;&gt;"",ROW($K$7:$K$33)-MIN(ROW($K$7:$K$33))+1,""),""),ROW()-ROW(A$36)+1)),"##0"),","),"")</f>
        <v>0</v>
      </c>
      <c r="L49">
        <f t="array" ref="L49">IFERROR(CONCATENATE((INDEX($N$7:$N$33,SMALL(IF($N$7:$N$33&lt;&gt;"",IF($K$7:$K$33&lt;&gt;"",ROW($K$7:$K$33)-MIN(ROW($K$7:$K$33))+1,""),""),ROW()-ROW(A$36)+1))),","),"")</f>
        <v>0</v>
      </c>
      <c r="M49">
        <f t="array" ref="M49">IFERROR(CONCATENATE((INDEX($A$7:$A$33,SMALL(IF($N$7:$N$33&lt;&gt;"",IF($K$7:$K$33&lt;&gt;"",ROW($K$7:$K$33)-MIN(ROW($K$7:$K$33))+1,""),""),ROW()-ROW(A$36)+1))),),"")</f>
        <v>0</v>
      </c>
      <c r="P49">
        <f t="array" ref="P49">IFERROR(CONCATENATE((INDEX($S$7:$S$33,SMALL(IF($S$7:$S$33&lt;&gt;"",IF($P$7:$P$33&lt;&gt;"",ROW($P$7:$P$33)-MIN(ROW($P$7:$P$33))+1,""),""),ROW()-ROW(A$36)+1)))," "),"")</f>
        <v>0</v>
      </c>
      <c r="Q49">
        <f t="array" ref="Q49">IFERROR(CONCATENATE(TEXT(INDEX($P$7:$P$33,SMALL(IF($S$7:$S$33&lt;&gt;"",IF($P$7:$P$33&lt;&gt;"",ROW($P$7:$P$33)-MIN(ROW($P$7:$P$33))+1,""),""),ROW()-ROW(A$36)+1)),"##0")," "),"")</f>
        <v>0</v>
      </c>
      <c r="R49">
        <f t="array" ref="R49">IFERROR(CONCATENATE((INDEX($A$7:$A$33,SMALL(IF($S$7:$S$33&lt;&gt;"",IF($P$7:$P$33&lt;&gt;"",ROW($P$7:$P$33)-MIN(ROW($P$7:$P$33))+1,""),""),ROW()-ROW(A$36)+1))),),"")</f>
        <v>0</v>
      </c>
      <c r="U49">
        <f t="array" ref="U49">IFERROR(CONCATENATE((INDEX($X$7:$X$33,SMALL(IF($X$7:$X$33&lt;&gt;"",IF($U$7:$U$33&lt;&gt;"",ROW($U$7:$U$33)-MIN(ROW($U$7:$U$33))+1,""),""),ROW()-ROW(A$36)+1)))," "),"")</f>
        <v>0</v>
      </c>
      <c r="V49">
        <f t="array" ref="V49">IFERROR(CONCATENATE(TEXT(INDEX($U$7:$U$33,SMALL(IF($X$7:$X$33&lt;&gt;"",IF($U$7:$U$33&lt;&gt;"",ROW($U$7:$U$33)-MIN(ROW($U$7:$U$33))+1,""),""),ROW()-ROW(A$36)+1)),"##0")," "),"")</f>
        <v>0</v>
      </c>
      <c r="W49">
        <f t="array" ref="W49">IFERROR(CONCATENATE((INDEX($A$7:$A$33,SMALL(IF($X$7:$X$33&lt;&gt;"",IF($U$7:$U$33&lt;&gt;"",ROW($U$7:$U$33)-MIN(ROW($U$7:$U$33))+1,""),""),ROW()-ROW(A$36)+1))),),"")</f>
        <v>0</v>
      </c>
      <c r="Z49">
        <f t="array" ref="Z49">IFERROR(CONCATENATE((INDEX($AC$7:$AC$33,SMALL(IF($AC$7:$AC$33&lt;&gt;"",IF($Z$7:$Z$33&lt;&gt;"",ROW($Z$7:$Z$33)-MIN(ROW($Z$7:$Z$33))+1,""),""),ROW()-ROW(A$36)+1))),","),"")</f>
        <v>0</v>
      </c>
      <c r="AA49">
        <f t="array" ref="AA49">IFERROR(CONCATENATE(TEXT(INDEX($Z$7:$Z$33,SMALL(IF($AC$7:$AC$33&lt;&gt;"",IF($Z$7:$Z$33&lt;&gt;"",ROW($Z$7:$Z$33)-MIN(ROW($Z$7:$Z$33))+1,""),""),ROW()-ROW(A$36)+1)),"##0"),","),"")</f>
        <v>0</v>
      </c>
      <c r="AB49">
        <f t="array" ref="AB49">IFERROR(CONCATENATE((INDEX($A$7:$A$33,SMALL(IF($AC$7:$AC$33&lt;&gt;"",IF($Z$7:$Z$33&lt;&gt;"",ROW($Z$7:$Z$33)-MIN(ROW($Z$7:$Z$33))+1,""),""),ROW()-ROW(A$36)+1))),),"")</f>
        <v>0</v>
      </c>
      <c r="AE49">
        <f t="array" ref="AE49">IFERROR(CONCATENATE((INDEX($AH$7:$AH$33,SMALL(IF($AH$7:$AH$33&lt;&gt;"",IF($AE$7:$AE$33&lt;&gt;"",ROW($AE$7:$AE$33)-MIN(ROW($AE$7:$AE$33))+1,""),""),ROW()-ROW(A$36)+1)))," "),"")</f>
        <v>0</v>
      </c>
      <c r="AF49">
        <f t="array" ref="AF49">IFERROR(CONCATENATE(TEXT(INDEX($AE$7:$AE$33,SMALL(IF($AH$7:$AH$33&lt;&gt;"",IF($AE$7:$AE$33&lt;&gt;"",ROW($AE$7:$AE$33)-MIN(ROW($AE$7:$AE$33))+1,""),""),ROW()-ROW(A$36)+1)),"##0")," "),"")</f>
        <v>0</v>
      </c>
      <c r="AG49">
        <f t="array" ref="AG49">IFERROR(CONCATENATE((INDEX($A$7:$A$33,SMALL(IF($AH$7:$AH$33&lt;&gt;"",IF($AE$7:$AE$33&lt;&gt;"",ROW($AE$7:$AE$33)-MIN(ROW($AE$7:$AE$33))+1,""),""),ROW()-ROW(A$36)+1))),),"")</f>
        <v>0</v>
      </c>
      <c r="AJ49">
        <f t="array" ref="AJ49">IFERROR(CONCATENATE((INDEX($AM$7:$AM$33,SMALL(IF($AM$7:$AM$33&lt;&gt;"",IF($AJ$7:$AJ$33&lt;&gt;"",ROW($AJ$7:$AJ$33)-MIN(ROW($AJ$7:$AJ$33))+1,""),""),ROW()-ROW(A$36)+1)))," "),"")</f>
        <v>0</v>
      </c>
      <c r="AK49">
        <f t="array" ref="AK49">IFERROR(CONCATENATE(TEXT(INDEX($AJ$7:$AJ$33,SMALL(IF($AM$7:$AM$33&lt;&gt;"",IF($AJ$7:$AJ$33&lt;&gt;"",ROW($AJ$7:$AJ$33)-MIN(ROW($AJ$7:$AJ$33))+1,""),""),ROW()-ROW(A$36)+1)),"##0")," "),"")</f>
        <v>0</v>
      </c>
      <c r="AL49">
        <f t="array" ref="AL49">IFERROR(CONCATENATE((INDEX($A$7:$A$33,SMALL(IF($AM$7:$AM$33&lt;&gt;"",IF($AJ$7:$AJ$33&lt;&gt;"",ROW($AJ$7:$AJ$33)-MIN(ROW($AJ$7:$AJ$33))+1,""),""),ROW()-ROW(A$36)+1))),),"")</f>
        <v>0</v>
      </c>
    </row>
    <row r="50" spans="11:38">
      <c r="K50">
        <f t="array" ref="K50">IFERROR(CONCATENATE(TEXT(INDEX($K$7:$K$33,SMALL(IF($N$7:$N$33&lt;&gt;"",IF($K$7:$K$33&lt;&gt;"",ROW($K$7:$K$33)-MIN(ROW($K$7:$K$33))+1,""),""),ROW()-ROW(A$36)+1)),"##0"),","),"")</f>
        <v>0</v>
      </c>
      <c r="L50">
        <f t="array" ref="L50">IFERROR(CONCATENATE((INDEX($N$7:$N$33,SMALL(IF($N$7:$N$33&lt;&gt;"",IF($K$7:$K$33&lt;&gt;"",ROW($K$7:$K$33)-MIN(ROW($K$7:$K$33))+1,""),""),ROW()-ROW(A$36)+1))),","),"")</f>
        <v>0</v>
      </c>
      <c r="M50">
        <f t="array" ref="M50">IFERROR(CONCATENATE((INDEX($A$7:$A$33,SMALL(IF($N$7:$N$33&lt;&gt;"",IF($K$7:$K$33&lt;&gt;"",ROW($K$7:$K$33)-MIN(ROW($K$7:$K$33))+1,""),""),ROW()-ROW(A$36)+1))),),"")</f>
        <v>0</v>
      </c>
      <c r="P50">
        <f t="array" ref="P50">IFERROR(CONCATENATE((INDEX($S$7:$S$33,SMALL(IF($S$7:$S$33&lt;&gt;"",IF($P$7:$P$33&lt;&gt;"",ROW($P$7:$P$33)-MIN(ROW($P$7:$P$33))+1,""),""),ROW()-ROW(A$36)+1)))," "),"")</f>
        <v>0</v>
      </c>
      <c r="Q50">
        <f t="array" ref="Q50">IFERROR(CONCATENATE(TEXT(INDEX($P$7:$P$33,SMALL(IF($S$7:$S$33&lt;&gt;"",IF($P$7:$P$33&lt;&gt;"",ROW($P$7:$P$33)-MIN(ROW($P$7:$P$33))+1,""),""),ROW()-ROW(A$36)+1)),"##0")," "),"")</f>
        <v>0</v>
      </c>
      <c r="R50">
        <f t="array" ref="R50">IFERROR(CONCATENATE((INDEX($A$7:$A$33,SMALL(IF($S$7:$S$33&lt;&gt;"",IF($P$7:$P$33&lt;&gt;"",ROW($P$7:$P$33)-MIN(ROW($P$7:$P$33))+1,""),""),ROW()-ROW(A$36)+1))),),"")</f>
        <v>0</v>
      </c>
      <c r="U50">
        <f t="array" ref="U50">IFERROR(CONCATENATE((INDEX($X$7:$X$33,SMALL(IF($X$7:$X$33&lt;&gt;"",IF($U$7:$U$33&lt;&gt;"",ROW($U$7:$U$33)-MIN(ROW($U$7:$U$33))+1,""),""),ROW()-ROW(A$36)+1)))," "),"")</f>
        <v>0</v>
      </c>
      <c r="V50">
        <f t="array" ref="V50">IFERROR(CONCATENATE(TEXT(INDEX($U$7:$U$33,SMALL(IF($X$7:$X$33&lt;&gt;"",IF($U$7:$U$33&lt;&gt;"",ROW($U$7:$U$33)-MIN(ROW($U$7:$U$33))+1,""),""),ROW()-ROW(A$36)+1)),"##0")," "),"")</f>
        <v>0</v>
      </c>
      <c r="W50">
        <f t="array" ref="W50">IFERROR(CONCATENATE((INDEX($A$7:$A$33,SMALL(IF($X$7:$X$33&lt;&gt;"",IF($U$7:$U$33&lt;&gt;"",ROW($U$7:$U$33)-MIN(ROW($U$7:$U$33))+1,""),""),ROW()-ROW(A$36)+1))),),"")</f>
        <v>0</v>
      </c>
      <c r="Z50">
        <f t="array" ref="Z50">IFERROR(CONCATENATE((INDEX($AC$7:$AC$33,SMALL(IF($AC$7:$AC$33&lt;&gt;"",IF($Z$7:$Z$33&lt;&gt;"",ROW($Z$7:$Z$33)-MIN(ROW($Z$7:$Z$33))+1,""),""),ROW()-ROW(A$36)+1))),","),"")</f>
        <v>0</v>
      </c>
      <c r="AA50">
        <f t="array" ref="AA50">IFERROR(CONCATENATE(TEXT(INDEX($Z$7:$Z$33,SMALL(IF($AC$7:$AC$33&lt;&gt;"",IF($Z$7:$Z$33&lt;&gt;"",ROW($Z$7:$Z$33)-MIN(ROW($Z$7:$Z$33))+1,""),""),ROW()-ROW(A$36)+1)),"##0"),","),"")</f>
        <v>0</v>
      </c>
      <c r="AB50">
        <f t="array" ref="AB50">IFERROR(CONCATENATE((INDEX($A$7:$A$33,SMALL(IF($AC$7:$AC$33&lt;&gt;"",IF($Z$7:$Z$33&lt;&gt;"",ROW($Z$7:$Z$33)-MIN(ROW($Z$7:$Z$33))+1,""),""),ROW()-ROW(A$36)+1))),),"")</f>
        <v>0</v>
      </c>
      <c r="AE50">
        <f t="array" ref="AE50">IFERROR(CONCATENATE((INDEX($AH$7:$AH$33,SMALL(IF($AH$7:$AH$33&lt;&gt;"",IF($AE$7:$AE$33&lt;&gt;"",ROW($AE$7:$AE$33)-MIN(ROW($AE$7:$AE$33))+1,""),""),ROW()-ROW(A$36)+1)))," "),"")</f>
        <v>0</v>
      </c>
      <c r="AF50">
        <f t="array" ref="AF50">IFERROR(CONCATENATE(TEXT(INDEX($AE$7:$AE$33,SMALL(IF($AH$7:$AH$33&lt;&gt;"",IF($AE$7:$AE$33&lt;&gt;"",ROW($AE$7:$AE$33)-MIN(ROW($AE$7:$AE$33))+1,""),""),ROW()-ROW(A$36)+1)),"##0")," "),"")</f>
        <v>0</v>
      </c>
      <c r="AG50">
        <f t="array" ref="AG50">IFERROR(CONCATENATE((INDEX($A$7:$A$33,SMALL(IF($AH$7:$AH$33&lt;&gt;"",IF($AE$7:$AE$33&lt;&gt;"",ROW($AE$7:$AE$33)-MIN(ROW($AE$7:$AE$33))+1,""),""),ROW()-ROW(A$36)+1))),),"")</f>
        <v>0</v>
      </c>
      <c r="AJ50">
        <f t="array" ref="AJ50">IFERROR(CONCATENATE((INDEX($AM$7:$AM$33,SMALL(IF($AM$7:$AM$33&lt;&gt;"",IF($AJ$7:$AJ$33&lt;&gt;"",ROW($AJ$7:$AJ$33)-MIN(ROW($AJ$7:$AJ$33))+1,""),""),ROW()-ROW(A$36)+1)))," "),"")</f>
        <v>0</v>
      </c>
      <c r="AK50">
        <f t="array" ref="AK50">IFERROR(CONCATENATE(TEXT(INDEX($AJ$7:$AJ$33,SMALL(IF($AM$7:$AM$33&lt;&gt;"",IF($AJ$7:$AJ$33&lt;&gt;"",ROW($AJ$7:$AJ$33)-MIN(ROW($AJ$7:$AJ$33))+1,""),""),ROW()-ROW(A$36)+1)),"##0")," "),"")</f>
        <v>0</v>
      </c>
      <c r="AL50">
        <f t="array" ref="AL50">IFERROR(CONCATENATE((INDEX($A$7:$A$33,SMALL(IF($AM$7:$AM$33&lt;&gt;"",IF($AJ$7:$AJ$33&lt;&gt;"",ROW($AJ$7:$AJ$33)-MIN(ROW($AJ$7:$AJ$33))+1,""),""),ROW()-ROW(A$36)+1))),),"")</f>
        <v>0</v>
      </c>
    </row>
    <row r="51" spans="11:38">
      <c r="K51">
        <f t="array" ref="K51">IFERROR(CONCATENATE(TEXT(INDEX($K$7:$K$33,SMALL(IF($N$7:$N$33&lt;&gt;"",IF($K$7:$K$33&lt;&gt;"",ROW($K$7:$K$33)-MIN(ROW($K$7:$K$33))+1,""),""),ROW()-ROW(A$36)+1)),"##0"),","),"")</f>
        <v>0</v>
      </c>
      <c r="L51">
        <f t="array" ref="L51">IFERROR(CONCATENATE((INDEX($N$7:$N$33,SMALL(IF($N$7:$N$33&lt;&gt;"",IF($K$7:$K$33&lt;&gt;"",ROW($K$7:$K$33)-MIN(ROW($K$7:$K$33))+1,""),""),ROW()-ROW(A$36)+1))),","),"")</f>
        <v>0</v>
      </c>
      <c r="M51">
        <f t="array" ref="M51">IFERROR(CONCATENATE((INDEX($A$7:$A$33,SMALL(IF($N$7:$N$33&lt;&gt;"",IF($K$7:$K$33&lt;&gt;"",ROW($K$7:$K$33)-MIN(ROW($K$7:$K$33))+1,""),""),ROW()-ROW(A$36)+1))),),"")</f>
        <v>0</v>
      </c>
      <c r="P51">
        <f t="array" ref="P51">IFERROR(CONCATENATE((INDEX($S$7:$S$33,SMALL(IF($S$7:$S$33&lt;&gt;"",IF($P$7:$P$33&lt;&gt;"",ROW($P$7:$P$33)-MIN(ROW($P$7:$P$33))+1,""),""),ROW()-ROW(A$36)+1)))," "),"")</f>
        <v>0</v>
      </c>
      <c r="Q51">
        <f t="array" ref="Q51">IFERROR(CONCATENATE(TEXT(INDEX($P$7:$P$33,SMALL(IF($S$7:$S$33&lt;&gt;"",IF($P$7:$P$33&lt;&gt;"",ROW($P$7:$P$33)-MIN(ROW($P$7:$P$33))+1,""),""),ROW()-ROW(A$36)+1)),"##0")," "),"")</f>
        <v>0</v>
      </c>
      <c r="R51">
        <f t="array" ref="R51">IFERROR(CONCATENATE((INDEX($A$7:$A$33,SMALL(IF($S$7:$S$33&lt;&gt;"",IF($P$7:$P$33&lt;&gt;"",ROW($P$7:$P$33)-MIN(ROW($P$7:$P$33))+1,""),""),ROW()-ROW(A$36)+1))),),"")</f>
        <v>0</v>
      </c>
      <c r="U51">
        <f t="array" ref="U51">IFERROR(CONCATENATE((INDEX($X$7:$X$33,SMALL(IF($X$7:$X$33&lt;&gt;"",IF($U$7:$U$33&lt;&gt;"",ROW($U$7:$U$33)-MIN(ROW($U$7:$U$33))+1,""),""),ROW()-ROW(A$36)+1)))," "),"")</f>
        <v>0</v>
      </c>
      <c r="V51">
        <f t="array" ref="V51">IFERROR(CONCATENATE(TEXT(INDEX($U$7:$U$33,SMALL(IF($X$7:$X$33&lt;&gt;"",IF($U$7:$U$33&lt;&gt;"",ROW($U$7:$U$33)-MIN(ROW($U$7:$U$33))+1,""),""),ROW()-ROW(A$36)+1)),"##0")," "),"")</f>
        <v>0</v>
      </c>
      <c r="W51">
        <f t="array" ref="W51">IFERROR(CONCATENATE((INDEX($A$7:$A$33,SMALL(IF($X$7:$X$33&lt;&gt;"",IF($U$7:$U$33&lt;&gt;"",ROW($U$7:$U$33)-MIN(ROW($U$7:$U$33))+1,""),""),ROW()-ROW(A$36)+1))),),"")</f>
        <v>0</v>
      </c>
      <c r="Z51">
        <f t="array" ref="Z51">IFERROR(CONCATENATE((INDEX($AC$7:$AC$33,SMALL(IF($AC$7:$AC$33&lt;&gt;"",IF($Z$7:$Z$33&lt;&gt;"",ROW($Z$7:$Z$33)-MIN(ROW($Z$7:$Z$33))+1,""),""),ROW()-ROW(A$36)+1))),","),"")</f>
        <v>0</v>
      </c>
      <c r="AA51">
        <f t="array" ref="AA51">IFERROR(CONCATENATE(TEXT(INDEX($Z$7:$Z$33,SMALL(IF($AC$7:$AC$33&lt;&gt;"",IF($Z$7:$Z$33&lt;&gt;"",ROW($Z$7:$Z$33)-MIN(ROW($Z$7:$Z$33))+1,""),""),ROW()-ROW(A$36)+1)),"##0"),","),"")</f>
        <v>0</v>
      </c>
      <c r="AB51">
        <f t="array" ref="AB51">IFERROR(CONCATENATE((INDEX($A$7:$A$33,SMALL(IF($AC$7:$AC$33&lt;&gt;"",IF($Z$7:$Z$33&lt;&gt;"",ROW($Z$7:$Z$33)-MIN(ROW($Z$7:$Z$33))+1,""),""),ROW()-ROW(A$36)+1))),),"")</f>
        <v>0</v>
      </c>
      <c r="AE51">
        <f t="array" ref="AE51">IFERROR(CONCATENATE((INDEX($AH$7:$AH$33,SMALL(IF($AH$7:$AH$33&lt;&gt;"",IF($AE$7:$AE$33&lt;&gt;"",ROW($AE$7:$AE$33)-MIN(ROW($AE$7:$AE$33))+1,""),""),ROW()-ROW(A$36)+1)))," "),"")</f>
        <v>0</v>
      </c>
      <c r="AF51">
        <f t="array" ref="AF51">IFERROR(CONCATENATE(TEXT(INDEX($AE$7:$AE$33,SMALL(IF($AH$7:$AH$33&lt;&gt;"",IF($AE$7:$AE$33&lt;&gt;"",ROW($AE$7:$AE$33)-MIN(ROW($AE$7:$AE$33))+1,""),""),ROW()-ROW(A$36)+1)),"##0")," "),"")</f>
        <v>0</v>
      </c>
      <c r="AG51">
        <f t="array" ref="AG51">IFERROR(CONCATENATE((INDEX($A$7:$A$33,SMALL(IF($AH$7:$AH$33&lt;&gt;"",IF($AE$7:$AE$33&lt;&gt;"",ROW($AE$7:$AE$33)-MIN(ROW($AE$7:$AE$33))+1,""),""),ROW()-ROW(A$36)+1))),),"")</f>
        <v>0</v>
      </c>
      <c r="AJ51">
        <f t="array" ref="AJ51">IFERROR(CONCATENATE((INDEX($AM$7:$AM$33,SMALL(IF($AM$7:$AM$33&lt;&gt;"",IF($AJ$7:$AJ$33&lt;&gt;"",ROW($AJ$7:$AJ$33)-MIN(ROW($AJ$7:$AJ$33))+1,""),""),ROW()-ROW(A$36)+1)))," "),"")</f>
        <v>0</v>
      </c>
      <c r="AK51">
        <f t="array" ref="AK51">IFERROR(CONCATENATE(TEXT(INDEX($AJ$7:$AJ$33,SMALL(IF($AM$7:$AM$33&lt;&gt;"",IF($AJ$7:$AJ$33&lt;&gt;"",ROW($AJ$7:$AJ$33)-MIN(ROW($AJ$7:$AJ$33))+1,""),""),ROW()-ROW(A$36)+1)),"##0")," "),"")</f>
        <v>0</v>
      </c>
      <c r="AL51">
        <f t="array" ref="AL51">IFERROR(CONCATENATE((INDEX($A$7:$A$33,SMALL(IF($AM$7:$AM$33&lt;&gt;"",IF($AJ$7:$AJ$33&lt;&gt;"",ROW($AJ$7:$AJ$33)-MIN(ROW($AJ$7:$AJ$33))+1,""),""),ROW()-ROW(A$36)+1))),),"")</f>
        <v>0</v>
      </c>
    </row>
    <row r="52" spans="11:38">
      <c r="K52">
        <f t="array" ref="K52">IFERROR(CONCATENATE(TEXT(INDEX($K$7:$K$33,SMALL(IF($N$7:$N$33&lt;&gt;"",IF($K$7:$K$33&lt;&gt;"",ROW($K$7:$K$33)-MIN(ROW($K$7:$K$33))+1,""),""),ROW()-ROW(A$36)+1)),"##0"),","),"")</f>
        <v>0</v>
      </c>
      <c r="L52">
        <f t="array" ref="L52">IFERROR(CONCATENATE((INDEX($N$7:$N$33,SMALL(IF($N$7:$N$33&lt;&gt;"",IF($K$7:$K$33&lt;&gt;"",ROW($K$7:$K$33)-MIN(ROW($K$7:$K$33))+1,""),""),ROW()-ROW(A$36)+1))),","),"")</f>
        <v>0</v>
      </c>
      <c r="M52">
        <f t="array" ref="M52">IFERROR(CONCATENATE((INDEX($A$7:$A$33,SMALL(IF($N$7:$N$33&lt;&gt;"",IF($K$7:$K$33&lt;&gt;"",ROW($K$7:$K$33)-MIN(ROW($K$7:$K$33))+1,""),""),ROW()-ROW(A$36)+1))),),"")</f>
        <v>0</v>
      </c>
      <c r="P52">
        <f t="array" ref="P52">IFERROR(CONCATENATE((INDEX($S$7:$S$33,SMALL(IF($S$7:$S$33&lt;&gt;"",IF($P$7:$P$33&lt;&gt;"",ROW($P$7:$P$33)-MIN(ROW($P$7:$P$33))+1,""),""),ROW()-ROW(A$36)+1)))," "),"")</f>
        <v>0</v>
      </c>
      <c r="Q52">
        <f t="array" ref="Q52">IFERROR(CONCATENATE(TEXT(INDEX($P$7:$P$33,SMALL(IF($S$7:$S$33&lt;&gt;"",IF($P$7:$P$33&lt;&gt;"",ROW($P$7:$P$33)-MIN(ROW($P$7:$P$33))+1,""),""),ROW()-ROW(A$36)+1)),"##0")," "),"")</f>
        <v>0</v>
      </c>
      <c r="R52">
        <f t="array" ref="R52">IFERROR(CONCATENATE((INDEX($A$7:$A$33,SMALL(IF($S$7:$S$33&lt;&gt;"",IF($P$7:$P$33&lt;&gt;"",ROW($P$7:$P$33)-MIN(ROW($P$7:$P$33))+1,""),""),ROW()-ROW(A$36)+1))),),"")</f>
        <v>0</v>
      </c>
      <c r="U52">
        <f t="array" ref="U52">IFERROR(CONCATENATE((INDEX($X$7:$X$33,SMALL(IF($X$7:$X$33&lt;&gt;"",IF($U$7:$U$33&lt;&gt;"",ROW($U$7:$U$33)-MIN(ROW($U$7:$U$33))+1,""),""),ROW()-ROW(A$36)+1)))," "),"")</f>
        <v>0</v>
      </c>
      <c r="V52">
        <f t="array" ref="V52">IFERROR(CONCATENATE(TEXT(INDEX($U$7:$U$33,SMALL(IF($X$7:$X$33&lt;&gt;"",IF($U$7:$U$33&lt;&gt;"",ROW($U$7:$U$33)-MIN(ROW($U$7:$U$33))+1,""),""),ROW()-ROW(A$36)+1)),"##0")," "),"")</f>
        <v>0</v>
      </c>
      <c r="W52">
        <f t="array" ref="W52">IFERROR(CONCATENATE((INDEX($A$7:$A$33,SMALL(IF($X$7:$X$33&lt;&gt;"",IF($U$7:$U$33&lt;&gt;"",ROW($U$7:$U$33)-MIN(ROW($U$7:$U$33))+1,""),""),ROW()-ROW(A$36)+1))),),"")</f>
        <v>0</v>
      </c>
      <c r="Z52">
        <f t="array" ref="Z52">IFERROR(CONCATENATE((INDEX($AC$7:$AC$33,SMALL(IF($AC$7:$AC$33&lt;&gt;"",IF($Z$7:$Z$33&lt;&gt;"",ROW($Z$7:$Z$33)-MIN(ROW($Z$7:$Z$33))+1,""),""),ROW()-ROW(A$36)+1))),","),"")</f>
        <v>0</v>
      </c>
      <c r="AA52">
        <f t="array" ref="AA52">IFERROR(CONCATENATE(TEXT(INDEX($Z$7:$Z$33,SMALL(IF($AC$7:$AC$33&lt;&gt;"",IF($Z$7:$Z$33&lt;&gt;"",ROW($Z$7:$Z$33)-MIN(ROW($Z$7:$Z$33))+1,""),""),ROW()-ROW(A$36)+1)),"##0"),","),"")</f>
        <v>0</v>
      </c>
      <c r="AB52">
        <f t="array" ref="AB52">IFERROR(CONCATENATE((INDEX($A$7:$A$33,SMALL(IF($AC$7:$AC$33&lt;&gt;"",IF($Z$7:$Z$33&lt;&gt;"",ROW($Z$7:$Z$33)-MIN(ROW($Z$7:$Z$33))+1,""),""),ROW()-ROW(A$36)+1))),),"")</f>
        <v>0</v>
      </c>
      <c r="AE52">
        <f t="array" ref="AE52">IFERROR(CONCATENATE((INDEX($AH$7:$AH$33,SMALL(IF($AH$7:$AH$33&lt;&gt;"",IF($AE$7:$AE$33&lt;&gt;"",ROW($AE$7:$AE$33)-MIN(ROW($AE$7:$AE$33))+1,""),""),ROW()-ROW(A$36)+1)))," "),"")</f>
        <v>0</v>
      </c>
      <c r="AF52">
        <f t="array" ref="AF52">IFERROR(CONCATENATE(TEXT(INDEX($AE$7:$AE$33,SMALL(IF($AH$7:$AH$33&lt;&gt;"",IF($AE$7:$AE$33&lt;&gt;"",ROW($AE$7:$AE$33)-MIN(ROW($AE$7:$AE$33))+1,""),""),ROW()-ROW(A$36)+1)),"##0")," "),"")</f>
        <v>0</v>
      </c>
      <c r="AG52">
        <f t="array" ref="AG52">IFERROR(CONCATENATE((INDEX($A$7:$A$33,SMALL(IF($AH$7:$AH$33&lt;&gt;"",IF($AE$7:$AE$33&lt;&gt;"",ROW($AE$7:$AE$33)-MIN(ROW($AE$7:$AE$33))+1,""),""),ROW()-ROW(A$36)+1))),),"")</f>
        <v>0</v>
      </c>
      <c r="AJ52">
        <f t="array" ref="AJ52">IFERROR(CONCATENATE((INDEX($AM$7:$AM$33,SMALL(IF($AM$7:$AM$33&lt;&gt;"",IF($AJ$7:$AJ$33&lt;&gt;"",ROW($AJ$7:$AJ$33)-MIN(ROW($AJ$7:$AJ$33))+1,""),""),ROW()-ROW(A$36)+1)))," "),"")</f>
        <v>0</v>
      </c>
      <c r="AK52">
        <f t="array" ref="AK52">IFERROR(CONCATENATE(TEXT(INDEX($AJ$7:$AJ$33,SMALL(IF($AM$7:$AM$33&lt;&gt;"",IF($AJ$7:$AJ$33&lt;&gt;"",ROW($AJ$7:$AJ$33)-MIN(ROW($AJ$7:$AJ$33))+1,""),""),ROW()-ROW(A$36)+1)),"##0")," "),"")</f>
        <v>0</v>
      </c>
      <c r="AL52">
        <f t="array" ref="AL52">IFERROR(CONCATENATE((INDEX($A$7:$A$33,SMALL(IF($AM$7:$AM$33&lt;&gt;"",IF($AJ$7:$AJ$33&lt;&gt;"",ROW($AJ$7:$AJ$33)-MIN(ROW($AJ$7:$AJ$33))+1,""),""),ROW()-ROW(A$36)+1))),),"")</f>
        <v>0</v>
      </c>
    </row>
    <row r="53" spans="11:38">
      <c r="K53">
        <f t="array" ref="K53">IFERROR(CONCATENATE(TEXT(INDEX($K$7:$K$33,SMALL(IF($N$7:$N$33&lt;&gt;"",IF($K$7:$K$33&lt;&gt;"",ROW($K$7:$K$33)-MIN(ROW($K$7:$K$33))+1,""),""),ROW()-ROW(A$36)+1)),"##0"),","),"")</f>
        <v>0</v>
      </c>
      <c r="L53">
        <f t="array" ref="L53">IFERROR(CONCATENATE((INDEX($N$7:$N$33,SMALL(IF($N$7:$N$33&lt;&gt;"",IF($K$7:$K$33&lt;&gt;"",ROW($K$7:$K$33)-MIN(ROW($K$7:$K$33))+1,""),""),ROW()-ROW(A$36)+1))),","),"")</f>
        <v>0</v>
      </c>
      <c r="M53">
        <f t="array" ref="M53">IFERROR(CONCATENATE((INDEX($A$7:$A$33,SMALL(IF($N$7:$N$33&lt;&gt;"",IF($K$7:$K$33&lt;&gt;"",ROW($K$7:$K$33)-MIN(ROW($K$7:$K$33))+1,""),""),ROW()-ROW(A$36)+1))),),"")</f>
        <v>0</v>
      </c>
      <c r="P53">
        <f t="array" ref="P53">IFERROR(CONCATENATE((INDEX($S$7:$S$33,SMALL(IF($S$7:$S$33&lt;&gt;"",IF($P$7:$P$33&lt;&gt;"",ROW($P$7:$P$33)-MIN(ROW($P$7:$P$33))+1,""),""),ROW()-ROW(A$36)+1)))," "),"")</f>
        <v>0</v>
      </c>
      <c r="Q53">
        <f t="array" ref="Q53">IFERROR(CONCATENATE(TEXT(INDEX($P$7:$P$33,SMALL(IF($S$7:$S$33&lt;&gt;"",IF($P$7:$P$33&lt;&gt;"",ROW($P$7:$P$33)-MIN(ROW($P$7:$P$33))+1,""),""),ROW()-ROW(A$36)+1)),"##0")," "),"")</f>
        <v>0</v>
      </c>
      <c r="R53">
        <f t="array" ref="R53">IFERROR(CONCATENATE((INDEX($A$7:$A$33,SMALL(IF($S$7:$S$33&lt;&gt;"",IF($P$7:$P$33&lt;&gt;"",ROW($P$7:$P$33)-MIN(ROW($P$7:$P$33))+1,""),""),ROW()-ROW(A$36)+1))),),"")</f>
        <v>0</v>
      </c>
      <c r="U53">
        <f t="array" ref="U53">IFERROR(CONCATENATE((INDEX($X$7:$X$33,SMALL(IF($X$7:$X$33&lt;&gt;"",IF($U$7:$U$33&lt;&gt;"",ROW($U$7:$U$33)-MIN(ROW($U$7:$U$33))+1,""),""),ROW()-ROW(A$36)+1)))," "),"")</f>
        <v>0</v>
      </c>
      <c r="V53">
        <f t="array" ref="V53">IFERROR(CONCATENATE(TEXT(INDEX($U$7:$U$33,SMALL(IF($X$7:$X$33&lt;&gt;"",IF($U$7:$U$33&lt;&gt;"",ROW($U$7:$U$33)-MIN(ROW($U$7:$U$33))+1,""),""),ROW()-ROW(A$36)+1)),"##0")," "),"")</f>
        <v>0</v>
      </c>
      <c r="W53">
        <f t="array" ref="W53">IFERROR(CONCATENATE((INDEX($A$7:$A$33,SMALL(IF($X$7:$X$33&lt;&gt;"",IF($U$7:$U$33&lt;&gt;"",ROW($U$7:$U$33)-MIN(ROW($U$7:$U$33))+1,""),""),ROW()-ROW(A$36)+1))),),"")</f>
        <v>0</v>
      </c>
      <c r="Z53">
        <f t="array" ref="Z53">IFERROR(CONCATENATE((INDEX($AC$7:$AC$33,SMALL(IF($AC$7:$AC$33&lt;&gt;"",IF($Z$7:$Z$33&lt;&gt;"",ROW($Z$7:$Z$33)-MIN(ROW($Z$7:$Z$33))+1,""),""),ROW()-ROW(A$36)+1))),","),"")</f>
        <v>0</v>
      </c>
      <c r="AA53">
        <f t="array" ref="AA53">IFERROR(CONCATENATE(TEXT(INDEX($Z$7:$Z$33,SMALL(IF($AC$7:$AC$33&lt;&gt;"",IF($Z$7:$Z$33&lt;&gt;"",ROW($Z$7:$Z$33)-MIN(ROW($Z$7:$Z$33))+1,""),""),ROW()-ROW(A$36)+1)),"##0"),","),"")</f>
        <v>0</v>
      </c>
      <c r="AB53">
        <f t="array" ref="AB53">IFERROR(CONCATENATE((INDEX($A$7:$A$33,SMALL(IF($AC$7:$AC$33&lt;&gt;"",IF($Z$7:$Z$33&lt;&gt;"",ROW($Z$7:$Z$33)-MIN(ROW($Z$7:$Z$33))+1,""),""),ROW()-ROW(A$36)+1))),),"")</f>
        <v>0</v>
      </c>
      <c r="AE53">
        <f t="array" ref="AE53">IFERROR(CONCATENATE((INDEX($AH$7:$AH$33,SMALL(IF($AH$7:$AH$33&lt;&gt;"",IF($AE$7:$AE$33&lt;&gt;"",ROW($AE$7:$AE$33)-MIN(ROW($AE$7:$AE$33))+1,""),""),ROW()-ROW(A$36)+1)))," "),"")</f>
        <v>0</v>
      </c>
      <c r="AF53">
        <f t="array" ref="AF53">IFERROR(CONCATENATE(TEXT(INDEX($AE$7:$AE$33,SMALL(IF($AH$7:$AH$33&lt;&gt;"",IF($AE$7:$AE$33&lt;&gt;"",ROW($AE$7:$AE$33)-MIN(ROW($AE$7:$AE$33))+1,""),""),ROW()-ROW(A$36)+1)),"##0")," "),"")</f>
        <v>0</v>
      </c>
      <c r="AG53">
        <f t="array" ref="AG53">IFERROR(CONCATENATE((INDEX($A$7:$A$33,SMALL(IF($AH$7:$AH$33&lt;&gt;"",IF($AE$7:$AE$33&lt;&gt;"",ROW($AE$7:$AE$33)-MIN(ROW($AE$7:$AE$33))+1,""),""),ROW()-ROW(A$36)+1))),),"")</f>
        <v>0</v>
      </c>
      <c r="AJ53">
        <f t="array" ref="AJ53">IFERROR(CONCATENATE((INDEX($AM$7:$AM$33,SMALL(IF($AM$7:$AM$33&lt;&gt;"",IF($AJ$7:$AJ$33&lt;&gt;"",ROW($AJ$7:$AJ$33)-MIN(ROW($AJ$7:$AJ$33))+1,""),""),ROW()-ROW(A$36)+1)))," "),"")</f>
        <v>0</v>
      </c>
      <c r="AK53">
        <f t="array" ref="AK53">IFERROR(CONCATENATE(TEXT(INDEX($AJ$7:$AJ$33,SMALL(IF($AM$7:$AM$33&lt;&gt;"",IF($AJ$7:$AJ$33&lt;&gt;"",ROW($AJ$7:$AJ$33)-MIN(ROW($AJ$7:$AJ$33))+1,""),""),ROW()-ROW(A$36)+1)),"##0")," "),"")</f>
        <v>0</v>
      </c>
      <c r="AL53">
        <f t="array" ref="AL53">IFERROR(CONCATENATE((INDEX($A$7:$A$33,SMALL(IF($AM$7:$AM$33&lt;&gt;"",IF($AJ$7:$AJ$33&lt;&gt;"",ROW($AJ$7:$AJ$33)-MIN(ROW($AJ$7:$AJ$33))+1,""),""),ROW()-ROW(A$36)+1))),),"")</f>
        <v>0</v>
      </c>
    </row>
    <row r="54" spans="11:38">
      <c r="K54">
        <f t="array" ref="K54">IFERROR(CONCATENATE(TEXT(INDEX($K$7:$K$33,SMALL(IF($N$7:$N$33&lt;&gt;"",IF($K$7:$K$33&lt;&gt;"",ROW($K$7:$K$33)-MIN(ROW($K$7:$K$33))+1,""),""),ROW()-ROW(A$36)+1)),"##0"),","),"")</f>
        <v>0</v>
      </c>
      <c r="L54">
        <f t="array" ref="L54">IFERROR(CONCATENATE((INDEX($N$7:$N$33,SMALL(IF($N$7:$N$33&lt;&gt;"",IF($K$7:$K$33&lt;&gt;"",ROW($K$7:$K$33)-MIN(ROW($K$7:$K$33))+1,""),""),ROW()-ROW(A$36)+1))),","),"")</f>
        <v>0</v>
      </c>
      <c r="M54">
        <f t="array" ref="M54">IFERROR(CONCATENATE((INDEX($A$7:$A$33,SMALL(IF($N$7:$N$33&lt;&gt;"",IF($K$7:$K$33&lt;&gt;"",ROW($K$7:$K$33)-MIN(ROW($K$7:$K$33))+1,""),""),ROW()-ROW(A$36)+1))),),"")</f>
        <v>0</v>
      </c>
      <c r="P54">
        <f t="array" ref="P54">IFERROR(CONCATENATE((INDEX($S$7:$S$33,SMALL(IF($S$7:$S$33&lt;&gt;"",IF($P$7:$P$33&lt;&gt;"",ROW($P$7:$P$33)-MIN(ROW($P$7:$P$33))+1,""),""),ROW()-ROW(A$36)+1)))," "),"")</f>
        <v>0</v>
      </c>
      <c r="Q54">
        <f t="array" ref="Q54">IFERROR(CONCATENATE(TEXT(INDEX($P$7:$P$33,SMALL(IF($S$7:$S$33&lt;&gt;"",IF($P$7:$P$33&lt;&gt;"",ROW($P$7:$P$33)-MIN(ROW($P$7:$P$33))+1,""),""),ROW()-ROW(A$36)+1)),"##0")," "),"")</f>
        <v>0</v>
      </c>
      <c r="R54">
        <f t="array" ref="R54">IFERROR(CONCATENATE((INDEX($A$7:$A$33,SMALL(IF($S$7:$S$33&lt;&gt;"",IF($P$7:$P$33&lt;&gt;"",ROW($P$7:$P$33)-MIN(ROW($P$7:$P$33))+1,""),""),ROW()-ROW(A$36)+1))),),"")</f>
        <v>0</v>
      </c>
      <c r="U54">
        <f t="array" ref="U54">IFERROR(CONCATENATE((INDEX($X$7:$X$33,SMALL(IF($X$7:$X$33&lt;&gt;"",IF($U$7:$U$33&lt;&gt;"",ROW($U$7:$U$33)-MIN(ROW($U$7:$U$33))+1,""),""),ROW()-ROW(A$36)+1)))," "),"")</f>
        <v>0</v>
      </c>
      <c r="V54">
        <f t="array" ref="V54">IFERROR(CONCATENATE(TEXT(INDEX($U$7:$U$33,SMALL(IF($X$7:$X$33&lt;&gt;"",IF($U$7:$U$33&lt;&gt;"",ROW($U$7:$U$33)-MIN(ROW($U$7:$U$33))+1,""),""),ROW()-ROW(A$36)+1)),"##0")," "),"")</f>
        <v>0</v>
      </c>
      <c r="W54">
        <f t="array" ref="W54">IFERROR(CONCATENATE((INDEX($A$7:$A$33,SMALL(IF($X$7:$X$33&lt;&gt;"",IF($U$7:$U$33&lt;&gt;"",ROW($U$7:$U$33)-MIN(ROW($U$7:$U$33))+1,""),""),ROW()-ROW(A$36)+1))),),"")</f>
        <v>0</v>
      </c>
      <c r="Z54">
        <f t="array" ref="Z54">IFERROR(CONCATENATE((INDEX($AC$7:$AC$33,SMALL(IF($AC$7:$AC$33&lt;&gt;"",IF($Z$7:$Z$33&lt;&gt;"",ROW($Z$7:$Z$33)-MIN(ROW($Z$7:$Z$33))+1,""),""),ROW()-ROW(A$36)+1))),","),"")</f>
        <v>0</v>
      </c>
      <c r="AA54">
        <f t="array" ref="AA54">IFERROR(CONCATENATE(TEXT(INDEX($Z$7:$Z$33,SMALL(IF($AC$7:$AC$33&lt;&gt;"",IF($Z$7:$Z$33&lt;&gt;"",ROW($Z$7:$Z$33)-MIN(ROW($Z$7:$Z$33))+1,""),""),ROW()-ROW(A$36)+1)),"##0"),","),"")</f>
        <v>0</v>
      </c>
      <c r="AB54">
        <f t="array" ref="AB54">IFERROR(CONCATENATE((INDEX($A$7:$A$33,SMALL(IF($AC$7:$AC$33&lt;&gt;"",IF($Z$7:$Z$33&lt;&gt;"",ROW($Z$7:$Z$33)-MIN(ROW($Z$7:$Z$33))+1,""),""),ROW()-ROW(A$36)+1))),),"")</f>
        <v>0</v>
      </c>
      <c r="AE54">
        <f t="array" ref="AE54">IFERROR(CONCATENATE((INDEX($AH$7:$AH$33,SMALL(IF($AH$7:$AH$33&lt;&gt;"",IF($AE$7:$AE$33&lt;&gt;"",ROW($AE$7:$AE$33)-MIN(ROW($AE$7:$AE$33))+1,""),""),ROW()-ROW(A$36)+1)))," "),"")</f>
        <v>0</v>
      </c>
      <c r="AF54">
        <f t="array" ref="AF54">IFERROR(CONCATENATE(TEXT(INDEX($AE$7:$AE$33,SMALL(IF($AH$7:$AH$33&lt;&gt;"",IF($AE$7:$AE$33&lt;&gt;"",ROW($AE$7:$AE$33)-MIN(ROW($AE$7:$AE$33))+1,""),""),ROW()-ROW(A$36)+1)),"##0")," "),"")</f>
        <v>0</v>
      </c>
      <c r="AG54">
        <f t="array" ref="AG54">IFERROR(CONCATENATE((INDEX($A$7:$A$33,SMALL(IF($AH$7:$AH$33&lt;&gt;"",IF($AE$7:$AE$33&lt;&gt;"",ROW($AE$7:$AE$33)-MIN(ROW($AE$7:$AE$33))+1,""),""),ROW()-ROW(A$36)+1))),),"")</f>
        <v>0</v>
      </c>
      <c r="AJ54">
        <f t="array" ref="AJ54">IFERROR(CONCATENATE((INDEX($AM$7:$AM$33,SMALL(IF($AM$7:$AM$33&lt;&gt;"",IF($AJ$7:$AJ$33&lt;&gt;"",ROW($AJ$7:$AJ$33)-MIN(ROW($AJ$7:$AJ$33))+1,""),""),ROW()-ROW(A$36)+1)))," "),"")</f>
        <v>0</v>
      </c>
      <c r="AK54">
        <f t="array" ref="AK54">IFERROR(CONCATENATE(TEXT(INDEX($AJ$7:$AJ$33,SMALL(IF($AM$7:$AM$33&lt;&gt;"",IF($AJ$7:$AJ$33&lt;&gt;"",ROW($AJ$7:$AJ$33)-MIN(ROW($AJ$7:$AJ$33))+1,""),""),ROW()-ROW(A$36)+1)),"##0")," "),"")</f>
        <v>0</v>
      </c>
      <c r="AL54">
        <f t="array" ref="AL54">IFERROR(CONCATENATE((INDEX($A$7:$A$33,SMALL(IF($AM$7:$AM$33&lt;&gt;"",IF($AJ$7:$AJ$33&lt;&gt;"",ROW($AJ$7:$AJ$33)-MIN(ROW($AJ$7:$AJ$33))+1,""),""),ROW()-ROW(A$36)+1))),),"")</f>
        <v>0</v>
      </c>
    </row>
    <row r="55" spans="11:38">
      <c r="K55">
        <f t="array" ref="K55">IFERROR(CONCATENATE(TEXT(INDEX($K$7:$K$33,SMALL(IF($N$7:$N$33&lt;&gt;"",IF($K$7:$K$33&lt;&gt;"",ROW($K$7:$K$33)-MIN(ROW($K$7:$K$33))+1,""),""),ROW()-ROW(A$36)+1)),"##0"),","),"")</f>
        <v>0</v>
      </c>
      <c r="L55">
        <f t="array" ref="L55">IFERROR(CONCATENATE((INDEX($N$7:$N$33,SMALL(IF($N$7:$N$33&lt;&gt;"",IF($K$7:$K$33&lt;&gt;"",ROW($K$7:$K$33)-MIN(ROW($K$7:$K$33))+1,""),""),ROW()-ROW(A$36)+1))),","),"")</f>
        <v>0</v>
      </c>
      <c r="M55">
        <f t="array" ref="M55">IFERROR(CONCATENATE((INDEX($A$7:$A$33,SMALL(IF($N$7:$N$33&lt;&gt;"",IF($K$7:$K$33&lt;&gt;"",ROW($K$7:$K$33)-MIN(ROW($K$7:$K$33))+1,""),""),ROW()-ROW(A$36)+1))),),"")</f>
        <v>0</v>
      </c>
      <c r="P55">
        <f t="array" ref="P55">IFERROR(CONCATENATE((INDEX($S$7:$S$33,SMALL(IF($S$7:$S$33&lt;&gt;"",IF($P$7:$P$33&lt;&gt;"",ROW($P$7:$P$33)-MIN(ROW($P$7:$P$33))+1,""),""),ROW()-ROW(A$36)+1)))," "),"")</f>
        <v>0</v>
      </c>
      <c r="Q55">
        <f t="array" ref="Q55">IFERROR(CONCATENATE(TEXT(INDEX($P$7:$P$33,SMALL(IF($S$7:$S$33&lt;&gt;"",IF($P$7:$P$33&lt;&gt;"",ROW($P$7:$P$33)-MIN(ROW($P$7:$P$33))+1,""),""),ROW()-ROW(A$36)+1)),"##0")," "),"")</f>
        <v>0</v>
      </c>
      <c r="R55">
        <f t="array" ref="R55">IFERROR(CONCATENATE((INDEX($A$7:$A$33,SMALL(IF($S$7:$S$33&lt;&gt;"",IF($P$7:$P$33&lt;&gt;"",ROW($P$7:$P$33)-MIN(ROW($P$7:$P$33))+1,""),""),ROW()-ROW(A$36)+1))),),"")</f>
        <v>0</v>
      </c>
      <c r="U55">
        <f t="array" ref="U55">IFERROR(CONCATENATE((INDEX($X$7:$X$33,SMALL(IF($X$7:$X$33&lt;&gt;"",IF($U$7:$U$33&lt;&gt;"",ROW($U$7:$U$33)-MIN(ROW($U$7:$U$33))+1,""),""),ROW()-ROW(A$36)+1)))," "),"")</f>
        <v>0</v>
      </c>
      <c r="V55">
        <f t="array" ref="V55">IFERROR(CONCATENATE(TEXT(INDEX($U$7:$U$33,SMALL(IF($X$7:$X$33&lt;&gt;"",IF($U$7:$U$33&lt;&gt;"",ROW($U$7:$U$33)-MIN(ROW($U$7:$U$33))+1,""),""),ROW()-ROW(A$36)+1)),"##0")," "),"")</f>
        <v>0</v>
      </c>
      <c r="W55">
        <f t="array" ref="W55">IFERROR(CONCATENATE((INDEX($A$7:$A$33,SMALL(IF($X$7:$X$33&lt;&gt;"",IF($U$7:$U$33&lt;&gt;"",ROW($U$7:$U$33)-MIN(ROW($U$7:$U$33))+1,""),""),ROW()-ROW(A$36)+1))),),"")</f>
        <v>0</v>
      </c>
      <c r="Z55">
        <f t="array" ref="Z55">IFERROR(CONCATENATE((INDEX($AC$7:$AC$33,SMALL(IF($AC$7:$AC$33&lt;&gt;"",IF($Z$7:$Z$33&lt;&gt;"",ROW($Z$7:$Z$33)-MIN(ROW($Z$7:$Z$33))+1,""),""),ROW()-ROW(A$36)+1))),","),"")</f>
        <v>0</v>
      </c>
      <c r="AA55">
        <f t="array" ref="AA55">IFERROR(CONCATENATE(TEXT(INDEX($Z$7:$Z$33,SMALL(IF($AC$7:$AC$33&lt;&gt;"",IF($Z$7:$Z$33&lt;&gt;"",ROW($Z$7:$Z$33)-MIN(ROW($Z$7:$Z$33))+1,""),""),ROW()-ROW(A$36)+1)),"##0"),","),"")</f>
        <v>0</v>
      </c>
      <c r="AB55">
        <f t="array" ref="AB55">IFERROR(CONCATENATE((INDEX($A$7:$A$33,SMALL(IF($AC$7:$AC$33&lt;&gt;"",IF($Z$7:$Z$33&lt;&gt;"",ROW($Z$7:$Z$33)-MIN(ROW($Z$7:$Z$33))+1,""),""),ROW()-ROW(A$36)+1))),),"")</f>
        <v>0</v>
      </c>
      <c r="AE55">
        <f t="array" ref="AE55">IFERROR(CONCATENATE((INDEX($AH$7:$AH$33,SMALL(IF($AH$7:$AH$33&lt;&gt;"",IF($AE$7:$AE$33&lt;&gt;"",ROW($AE$7:$AE$33)-MIN(ROW($AE$7:$AE$33))+1,""),""),ROW()-ROW(A$36)+1)))," "),"")</f>
        <v>0</v>
      </c>
      <c r="AF55">
        <f t="array" ref="AF55">IFERROR(CONCATENATE(TEXT(INDEX($AE$7:$AE$33,SMALL(IF($AH$7:$AH$33&lt;&gt;"",IF($AE$7:$AE$33&lt;&gt;"",ROW($AE$7:$AE$33)-MIN(ROW($AE$7:$AE$33))+1,""),""),ROW()-ROW(A$36)+1)),"##0")," "),"")</f>
        <v>0</v>
      </c>
      <c r="AG55">
        <f t="array" ref="AG55">IFERROR(CONCATENATE((INDEX($A$7:$A$33,SMALL(IF($AH$7:$AH$33&lt;&gt;"",IF($AE$7:$AE$33&lt;&gt;"",ROW($AE$7:$AE$33)-MIN(ROW($AE$7:$AE$33))+1,""),""),ROW()-ROW(A$36)+1))),),"")</f>
        <v>0</v>
      </c>
      <c r="AJ55">
        <f t="array" ref="AJ55">IFERROR(CONCATENATE((INDEX($AM$7:$AM$33,SMALL(IF($AM$7:$AM$33&lt;&gt;"",IF($AJ$7:$AJ$33&lt;&gt;"",ROW($AJ$7:$AJ$33)-MIN(ROW($AJ$7:$AJ$33))+1,""),""),ROW()-ROW(A$36)+1)))," "),"")</f>
        <v>0</v>
      </c>
      <c r="AK55">
        <f t="array" ref="AK55">IFERROR(CONCATENATE(TEXT(INDEX($AJ$7:$AJ$33,SMALL(IF($AM$7:$AM$33&lt;&gt;"",IF($AJ$7:$AJ$33&lt;&gt;"",ROW($AJ$7:$AJ$33)-MIN(ROW($AJ$7:$AJ$33))+1,""),""),ROW()-ROW(A$36)+1)),"##0")," "),"")</f>
        <v>0</v>
      </c>
      <c r="AL55">
        <f t="array" ref="AL55">IFERROR(CONCATENATE((INDEX($A$7:$A$33,SMALL(IF($AM$7:$AM$33&lt;&gt;"",IF($AJ$7:$AJ$33&lt;&gt;"",ROW($AJ$7:$AJ$33)-MIN(ROW($AJ$7:$AJ$33))+1,""),""),ROW()-ROW(A$36)+1))),),"")</f>
        <v>0</v>
      </c>
    </row>
    <row r="56" spans="11:38">
      <c r="K56">
        <f t="array" ref="K56">IFERROR(CONCATENATE(TEXT(INDEX($K$7:$K$33,SMALL(IF($N$7:$N$33&lt;&gt;"",IF($K$7:$K$33&lt;&gt;"",ROW($K$7:$K$33)-MIN(ROW($K$7:$K$33))+1,""),""),ROW()-ROW(A$36)+1)),"##0"),","),"")</f>
        <v>0</v>
      </c>
      <c r="L56">
        <f t="array" ref="L56">IFERROR(CONCATENATE((INDEX($N$7:$N$33,SMALL(IF($N$7:$N$33&lt;&gt;"",IF($K$7:$K$33&lt;&gt;"",ROW($K$7:$K$33)-MIN(ROW($K$7:$K$33))+1,""),""),ROW()-ROW(A$36)+1))),","),"")</f>
        <v>0</v>
      </c>
      <c r="M56">
        <f t="array" ref="M56">IFERROR(CONCATENATE((INDEX($A$7:$A$33,SMALL(IF($N$7:$N$33&lt;&gt;"",IF($K$7:$K$33&lt;&gt;"",ROW($K$7:$K$33)-MIN(ROW($K$7:$K$33))+1,""),""),ROW()-ROW(A$36)+1))),),"")</f>
        <v>0</v>
      </c>
      <c r="P56">
        <f t="array" ref="P56">IFERROR(CONCATENATE((INDEX($S$7:$S$33,SMALL(IF($S$7:$S$33&lt;&gt;"",IF($P$7:$P$33&lt;&gt;"",ROW($P$7:$P$33)-MIN(ROW($P$7:$P$33))+1,""),""),ROW()-ROW(A$36)+1)))," "),"")</f>
        <v>0</v>
      </c>
      <c r="Q56">
        <f t="array" ref="Q56">IFERROR(CONCATENATE(TEXT(INDEX($P$7:$P$33,SMALL(IF($S$7:$S$33&lt;&gt;"",IF($P$7:$P$33&lt;&gt;"",ROW($P$7:$P$33)-MIN(ROW($P$7:$P$33))+1,""),""),ROW()-ROW(A$36)+1)),"##0")," "),"")</f>
        <v>0</v>
      </c>
      <c r="R56">
        <f t="array" ref="R56">IFERROR(CONCATENATE((INDEX($A$7:$A$33,SMALL(IF($S$7:$S$33&lt;&gt;"",IF($P$7:$P$33&lt;&gt;"",ROW($P$7:$P$33)-MIN(ROW($P$7:$P$33))+1,""),""),ROW()-ROW(A$36)+1))),),"")</f>
        <v>0</v>
      </c>
      <c r="U56">
        <f t="array" ref="U56">IFERROR(CONCATENATE((INDEX($X$7:$X$33,SMALL(IF($X$7:$X$33&lt;&gt;"",IF($U$7:$U$33&lt;&gt;"",ROW($U$7:$U$33)-MIN(ROW($U$7:$U$33))+1,""),""),ROW()-ROW(A$36)+1)))," "),"")</f>
        <v>0</v>
      </c>
      <c r="V56">
        <f t="array" ref="V56">IFERROR(CONCATENATE(TEXT(INDEX($U$7:$U$33,SMALL(IF($X$7:$X$33&lt;&gt;"",IF($U$7:$U$33&lt;&gt;"",ROW($U$7:$U$33)-MIN(ROW($U$7:$U$33))+1,""),""),ROW()-ROW(A$36)+1)),"##0")," "),"")</f>
        <v>0</v>
      </c>
      <c r="W56">
        <f t="array" ref="W56">IFERROR(CONCATENATE((INDEX($A$7:$A$33,SMALL(IF($X$7:$X$33&lt;&gt;"",IF($U$7:$U$33&lt;&gt;"",ROW($U$7:$U$33)-MIN(ROW($U$7:$U$33))+1,""),""),ROW()-ROW(A$36)+1))),),"")</f>
        <v>0</v>
      </c>
      <c r="Z56">
        <f t="array" ref="Z56">IFERROR(CONCATENATE((INDEX($AC$7:$AC$33,SMALL(IF($AC$7:$AC$33&lt;&gt;"",IF($Z$7:$Z$33&lt;&gt;"",ROW($Z$7:$Z$33)-MIN(ROW($Z$7:$Z$33))+1,""),""),ROW()-ROW(A$36)+1))),","),"")</f>
        <v>0</v>
      </c>
      <c r="AA56">
        <f t="array" ref="AA56">IFERROR(CONCATENATE(TEXT(INDEX($Z$7:$Z$33,SMALL(IF($AC$7:$AC$33&lt;&gt;"",IF($Z$7:$Z$33&lt;&gt;"",ROW($Z$7:$Z$33)-MIN(ROW($Z$7:$Z$33))+1,""),""),ROW()-ROW(A$36)+1)),"##0"),","),"")</f>
        <v>0</v>
      </c>
      <c r="AB56">
        <f t="array" ref="AB56">IFERROR(CONCATENATE((INDEX($A$7:$A$33,SMALL(IF($AC$7:$AC$33&lt;&gt;"",IF($Z$7:$Z$33&lt;&gt;"",ROW($Z$7:$Z$33)-MIN(ROW($Z$7:$Z$33))+1,""),""),ROW()-ROW(A$36)+1))),),"")</f>
        <v>0</v>
      </c>
      <c r="AE56">
        <f t="array" ref="AE56">IFERROR(CONCATENATE((INDEX($AH$7:$AH$33,SMALL(IF($AH$7:$AH$33&lt;&gt;"",IF($AE$7:$AE$33&lt;&gt;"",ROW($AE$7:$AE$33)-MIN(ROW($AE$7:$AE$33))+1,""),""),ROW()-ROW(A$36)+1)))," "),"")</f>
        <v>0</v>
      </c>
      <c r="AF56">
        <f t="array" ref="AF56">IFERROR(CONCATENATE(TEXT(INDEX($AE$7:$AE$33,SMALL(IF($AH$7:$AH$33&lt;&gt;"",IF($AE$7:$AE$33&lt;&gt;"",ROW($AE$7:$AE$33)-MIN(ROW($AE$7:$AE$33))+1,""),""),ROW()-ROW(A$36)+1)),"##0")," "),"")</f>
        <v>0</v>
      </c>
      <c r="AG56">
        <f t="array" ref="AG56">IFERROR(CONCATENATE((INDEX($A$7:$A$33,SMALL(IF($AH$7:$AH$33&lt;&gt;"",IF($AE$7:$AE$33&lt;&gt;"",ROW($AE$7:$AE$33)-MIN(ROW($AE$7:$AE$33))+1,""),""),ROW()-ROW(A$36)+1))),),"")</f>
        <v>0</v>
      </c>
      <c r="AJ56">
        <f t="array" ref="AJ56">IFERROR(CONCATENATE((INDEX($AM$7:$AM$33,SMALL(IF($AM$7:$AM$33&lt;&gt;"",IF($AJ$7:$AJ$33&lt;&gt;"",ROW($AJ$7:$AJ$33)-MIN(ROW($AJ$7:$AJ$33))+1,""),""),ROW()-ROW(A$36)+1)))," "),"")</f>
        <v>0</v>
      </c>
      <c r="AK56">
        <f t="array" ref="AK56">IFERROR(CONCATENATE(TEXT(INDEX($AJ$7:$AJ$33,SMALL(IF($AM$7:$AM$33&lt;&gt;"",IF($AJ$7:$AJ$33&lt;&gt;"",ROW($AJ$7:$AJ$33)-MIN(ROW($AJ$7:$AJ$33))+1,""),""),ROW()-ROW(A$36)+1)),"##0")," "),"")</f>
        <v>0</v>
      </c>
      <c r="AL56">
        <f t="array" ref="AL56">IFERROR(CONCATENATE((INDEX($A$7:$A$33,SMALL(IF($AM$7:$AM$33&lt;&gt;"",IF($AJ$7:$AJ$33&lt;&gt;"",ROW($AJ$7:$AJ$33)-MIN(ROW($AJ$7:$AJ$33))+1,""),""),ROW()-ROW(A$36)+1))),),"")</f>
        <v>0</v>
      </c>
    </row>
    <row r="57" spans="11:38">
      <c r="K57">
        <f t="array" ref="K57">IFERROR(CONCATENATE(TEXT(INDEX($K$7:$K$33,SMALL(IF($N$7:$N$33&lt;&gt;"",IF($K$7:$K$33&lt;&gt;"",ROW($K$7:$K$33)-MIN(ROW($K$7:$K$33))+1,""),""),ROW()-ROW(A$36)+1)),"##0"),","),"")</f>
        <v>0</v>
      </c>
      <c r="L57">
        <f t="array" ref="L57">IFERROR(CONCATENATE((INDEX($N$7:$N$33,SMALL(IF($N$7:$N$33&lt;&gt;"",IF($K$7:$K$33&lt;&gt;"",ROW($K$7:$K$33)-MIN(ROW($K$7:$K$33))+1,""),""),ROW()-ROW(A$36)+1))),","),"")</f>
        <v>0</v>
      </c>
      <c r="M57">
        <f t="array" ref="M57">IFERROR(CONCATENATE((INDEX($A$7:$A$33,SMALL(IF($N$7:$N$33&lt;&gt;"",IF($K$7:$K$33&lt;&gt;"",ROW($K$7:$K$33)-MIN(ROW($K$7:$K$33))+1,""),""),ROW()-ROW(A$36)+1))),),"")</f>
        <v>0</v>
      </c>
      <c r="P57">
        <f t="array" ref="P57">IFERROR(CONCATENATE((INDEX($S$7:$S$33,SMALL(IF($S$7:$S$33&lt;&gt;"",IF($P$7:$P$33&lt;&gt;"",ROW($P$7:$P$33)-MIN(ROW($P$7:$P$33))+1,""),""),ROW()-ROW(A$36)+1)))," "),"")</f>
        <v>0</v>
      </c>
      <c r="Q57">
        <f t="array" ref="Q57">IFERROR(CONCATENATE(TEXT(INDEX($P$7:$P$33,SMALL(IF($S$7:$S$33&lt;&gt;"",IF($P$7:$P$33&lt;&gt;"",ROW($P$7:$P$33)-MIN(ROW($P$7:$P$33))+1,""),""),ROW()-ROW(A$36)+1)),"##0")," "),"")</f>
        <v>0</v>
      </c>
      <c r="R57">
        <f t="array" ref="R57">IFERROR(CONCATENATE((INDEX($A$7:$A$33,SMALL(IF($S$7:$S$33&lt;&gt;"",IF($P$7:$P$33&lt;&gt;"",ROW($P$7:$P$33)-MIN(ROW($P$7:$P$33))+1,""),""),ROW()-ROW(A$36)+1))),),"")</f>
        <v>0</v>
      </c>
      <c r="U57">
        <f t="array" ref="U57">IFERROR(CONCATENATE((INDEX($X$7:$X$33,SMALL(IF($X$7:$X$33&lt;&gt;"",IF($U$7:$U$33&lt;&gt;"",ROW($U$7:$U$33)-MIN(ROW($U$7:$U$33))+1,""),""),ROW()-ROW(A$36)+1)))," "),"")</f>
        <v>0</v>
      </c>
      <c r="V57">
        <f t="array" ref="V57">IFERROR(CONCATENATE(TEXT(INDEX($U$7:$U$33,SMALL(IF($X$7:$X$33&lt;&gt;"",IF($U$7:$U$33&lt;&gt;"",ROW($U$7:$U$33)-MIN(ROW($U$7:$U$33))+1,""),""),ROW()-ROW(A$36)+1)),"##0")," "),"")</f>
        <v>0</v>
      </c>
      <c r="W57">
        <f t="array" ref="W57">IFERROR(CONCATENATE((INDEX($A$7:$A$33,SMALL(IF($X$7:$X$33&lt;&gt;"",IF($U$7:$U$33&lt;&gt;"",ROW($U$7:$U$33)-MIN(ROW($U$7:$U$33))+1,""),""),ROW()-ROW(A$36)+1))),),"")</f>
        <v>0</v>
      </c>
      <c r="Z57">
        <f t="array" ref="Z57">IFERROR(CONCATENATE((INDEX($AC$7:$AC$33,SMALL(IF($AC$7:$AC$33&lt;&gt;"",IF($Z$7:$Z$33&lt;&gt;"",ROW($Z$7:$Z$33)-MIN(ROW($Z$7:$Z$33))+1,""),""),ROW()-ROW(A$36)+1))),","),"")</f>
        <v>0</v>
      </c>
      <c r="AA57">
        <f t="array" ref="AA57">IFERROR(CONCATENATE(TEXT(INDEX($Z$7:$Z$33,SMALL(IF($AC$7:$AC$33&lt;&gt;"",IF($Z$7:$Z$33&lt;&gt;"",ROW($Z$7:$Z$33)-MIN(ROW($Z$7:$Z$33))+1,""),""),ROW()-ROW(A$36)+1)),"##0"),","),"")</f>
        <v>0</v>
      </c>
      <c r="AB57">
        <f t="array" ref="AB57">IFERROR(CONCATENATE((INDEX($A$7:$A$33,SMALL(IF($AC$7:$AC$33&lt;&gt;"",IF($Z$7:$Z$33&lt;&gt;"",ROW($Z$7:$Z$33)-MIN(ROW($Z$7:$Z$33))+1,""),""),ROW()-ROW(A$36)+1))),),"")</f>
        <v>0</v>
      </c>
      <c r="AE57">
        <f t="array" ref="AE57">IFERROR(CONCATENATE((INDEX($AH$7:$AH$33,SMALL(IF($AH$7:$AH$33&lt;&gt;"",IF($AE$7:$AE$33&lt;&gt;"",ROW($AE$7:$AE$33)-MIN(ROW($AE$7:$AE$33))+1,""),""),ROW()-ROW(A$36)+1)))," "),"")</f>
        <v>0</v>
      </c>
      <c r="AF57">
        <f t="array" ref="AF57">IFERROR(CONCATENATE(TEXT(INDEX($AE$7:$AE$33,SMALL(IF($AH$7:$AH$33&lt;&gt;"",IF($AE$7:$AE$33&lt;&gt;"",ROW($AE$7:$AE$33)-MIN(ROW($AE$7:$AE$33))+1,""),""),ROW()-ROW(A$36)+1)),"##0")," "),"")</f>
        <v>0</v>
      </c>
      <c r="AG57">
        <f t="array" ref="AG57">IFERROR(CONCATENATE((INDEX($A$7:$A$33,SMALL(IF($AH$7:$AH$33&lt;&gt;"",IF($AE$7:$AE$33&lt;&gt;"",ROW($AE$7:$AE$33)-MIN(ROW($AE$7:$AE$33))+1,""),""),ROW()-ROW(A$36)+1))),),"")</f>
        <v>0</v>
      </c>
      <c r="AJ57">
        <f t="array" ref="AJ57">IFERROR(CONCATENATE((INDEX($AM$7:$AM$33,SMALL(IF($AM$7:$AM$33&lt;&gt;"",IF($AJ$7:$AJ$33&lt;&gt;"",ROW($AJ$7:$AJ$33)-MIN(ROW($AJ$7:$AJ$33))+1,""),""),ROW()-ROW(A$36)+1)))," "),"")</f>
        <v>0</v>
      </c>
      <c r="AK57">
        <f t="array" ref="AK57">IFERROR(CONCATENATE(TEXT(INDEX($AJ$7:$AJ$33,SMALL(IF($AM$7:$AM$33&lt;&gt;"",IF($AJ$7:$AJ$33&lt;&gt;"",ROW($AJ$7:$AJ$33)-MIN(ROW($AJ$7:$AJ$33))+1,""),""),ROW()-ROW(A$36)+1)),"##0")," "),"")</f>
        <v>0</v>
      </c>
      <c r="AL57">
        <f t="array" ref="AL57">IFERROR(CONCATENATE((INDEX($A$7:$A$33,SMALL(IF($AM$7:$AM$33&lt;&gt;"",IF($AJ$7:$AJ$33&lt;&gt;"",ROW($AJ$7:$AJ$33)-MIN(ROW($AJ$7:$AJ$33))+1,""),""),ROW()-ROW(A$36)+1))),),"")</f>
        <v>0</v>
      </c>
    </row>
    <row r="58" spans="11:38">
      <c r="K58">
        <f t="array" ref="K58">IFERROR(CONCATENATE(TEXT(INDEX($K$7:$K$33,SMALL(IF($N$7:$N$33&lt;&gt;"",IF($K$7:$K$33&lt;&gt;"",ROW($K$7:$K$33)-MIN(ROW($K$7:$K$33))+1,""),""),ROW()-ROW(A$36)+1)),"##0"),","),"")</f>
        <v>0</v>
      </c>
      <c r="L58">
        <f t="array" ref="L58">IFERROR(CONCATENATE((INDEX($N$7:$N$33,SMALL(IF($N$7:$N$33&lt;&gt;"",IF($K$7:$K$33&lt;&gt;"",ROW($K$7:$K$33)-MIN(ROW($K$7:$K$33))+1,""),""),ROW()-ROW(A$36)+1))),","),"")</f>
        <v>0</v>
      </c>
      <c r="M58">
        <f t="array" ref="M58">IFERROR(CONCATENATE((INDEX($A$7:$A$33,SMALL(IF($N$7:$N$33&lt;&gt;"",IF($K$7:$K$33&lt;&gt;"",ROW($K$7:$K$33)-MIN(ROW($K$7:$K$33))+1,""),""),ROW()-ROW(A$36)+1))),),"")</f>
        <v>0</v>
      </c>
      <c r="P58">
        <f t="array" ref="P58">IFERROR(CONCATENATE((INDEX($S$7:$S$33,SMALL(IF($S$7:$S$33&lt;&gt;"",IF($P$7:$P$33&lt;&gt;"",ROW($P$7:$P$33)-MIN(ROW($P$7:$P$33))+1,""),""),ROW()-ROW(A$36)+1)))," "),"")</f>
        <v>0</v>
      </c>
      <c r="Q58">
        <f t="array" ref="Q58">IFERROR(CONCATENATE(TEXT(INDEX($P$7:$P$33,SMALL(IF($S$7:$S$33&lt;&gt;"",IF($P$7:$P$33&lt;&gt;"",ROW($P$7:$P$33)-MIN(ROW($P$7:$P$33))+1,""),""),ROW()-ROW(A$36)+1)),"##0")," "),"")</f>
        <v>0</v>
      </c>
      <c r="R58">
        <f t="array" ref="R58">IFERROR(CONCATENATE((INDEX($A$7:$A$33,SMALL(IF($S$7:$S$33&lt;&gt;"",IF($P$7:$P$33&lt;&gt;"",ROW($P$7:$P$33)-MIN(ROW($P$7:$P$33))+1,""),""),ROW()-ROW(A$36)+1))),),"")</f>
        <v>0</v>
      </c>
      <c r="U58">
        <f t="array" ref="U58">IFERROR(CONCATENATE((INDEX($X$7:$X$33,SMALL(IF($X$7:$X$33&lt;&gt;"",IF($U$7:$U$33&lt;&gt;"",ROW($U$7:$U$33)-MIN(ROW($U$7:$U$33))+1,""),""),ROW()-ROW(A$36)+1)))," "),"")</f>
        <v>0</v>
      </c>
      <c r="V58">
        <f t="array" ref="V58">IFERROR(CONCATENATE(TEXT(INDEX($U$7:$U$33,SMALL(IF($X$7:$X$33&lt;&gt;"",IF($U$7:$U$33&lt;&gt;"",ROW($U$7:$U$33)-MIN(ROW($U$7:$U$33))+1,""),""),ROW()-ROW(A$36)+1)),"##0")," "),"")</f>
        <v>0</v>
      </c>
      <c r="W58">
        <f t="array" ref="W58">IFERROR(CONCATENATE((INDEX($A$7:$A$33,SMALL(IF($X$7:$X$33&lt;&gt;"",IF($U$7:$U$33&lt;&gt;"",ROW($U$7:$U$33)-MIN(ROW($U$7:$U$33))+1,""),""),ROW()-ROW(A$36)+1))),),"")</f>
        <v>0</v>
      </c>
      <c r="Z58">
        <f t="array" ref="Z58">IFERROR(CONCATENATE((INDEX($AC$7:$AC$33,SMALL(IF($AC$7:$AC$33&lt;&gt;"",IF($Z$7:$Z$33&lt;&gt;"",ROW($Z$7:$Z$33)-MIN(ROW($Z$7:$Z$33))+1,""),""),ROW()-ROW(A$36)+1))),","),"")</f>
        <v>0</v>
      </c>
      <c r="AA58">
        <f t="array" ref="AA58">IFERROR(CONCATENATE(TEXT(INDEX($Z$7:$Z$33,SMALL(IF($AC$7:$AC$33&lt;&gt;"",IF($Z$7:$Z$33&lt;&gt;"",ROW($Z$7:$Z$33)-MIN(ROW($Z$7:$Z$33))+1,""),""),ROW()-ROW(A$36)+1)),"##0"),","),"")</f>
        <v>0</v>
      </c>
      <c r="AB58">
        <f t="array" ref="AB58">IFERROR(CONCATENATE((INDEX($A$7:$A$33,SMALL(IF($AC$7:$AC$33&lt;&gt;"",IF($Z$7:$Z$33&lt;&gt;"",ROW($Z$7:$Z$33)-MIN(ROW($Z$7:$Z$33))+1,""),""),ROW()-ROW(A$36)+1))),),"")</f>
        <v>0</v>
      </c>
      <c r="AE58">
        <f t="array" ref="AE58">IFERROR(CONCATENATE((INDEX($AH$7:$AH$33,SMALL(IF($AH$7:$AH$33&lt;&gt;"",IF($AE$7:$AE$33&lt;&gt;"",ROW($AE$7:$AE$33)-MIN(ROW($AE$7:$AE$33))+1,""),""),ROW()-ROW(A$36)+1)))," "),"")</f>
        <v>0</v>
      </c>
      <c r="AF58">
        <f t="array" ref="AF58">IFERROR(CONCATENATE(TEXT(INDEX($AE$7:$AE$33,SMALL(IF($AH$7:$AH$33&lt;&gt;"",IF($AE$7:$AE$33&lt;&gt;"",ROW($AE$7:$AE$33)-MIN(ROW($AE$7:$AE$33))+1,""),""),ROW()-ROW(A$36)+1)),"##0")," "),"")</f>
        <v>0</v>
      </c>
      <c r="AG58">
        <f t="array" ref="AG58">IFERROR(CONCATENATE((INDEX($A$7:$A$33,SMALL(IF($AH$7:$AH$33&lt;&gt;"",IF($AE$7:$AE$33&lt;&gt;"",ROW($AE$7:$AE$33)-MIN(ROW($AE$7:$AE$33))+1,""),""),ROW()-ROW(A$36)+1))),),"")</f>
        <v>0</v>
      </c>
      <c r="AJ58">
        <f t="array" ref="AJ58">IFERROR(CONCATENATE((INDEX($AM$7:$AM$33,SMALL(IF($AM$7:$AM$33&lt;&gt;"",IF($AJ$7:$AJ$33&lt;&gt;"",ROW($AJ$7:$AJ$33)-MIN(ROW($AJ$7:$AJ$33))+1,""),""),ROW()-ROW(A$36)+1)))," "),"")</f>
        <v>0</v>
      </c>
      <c r="AK58">
        <f t="array" ref="AK58">IFERROR(CONCATENATE(TEXT(INDEX($AJ$7:$AJ$33,SMALL(IF($AM$7:$AM$33&lt;&gt;"",IF($AJ$7:$AJ$33&lt;&gt;"",ROW($AJ$7:$AJ$33)-MIN(ROW($AJ$7:$AJ$33))+1,""),""),ROW()-ROW(A$36)+1)),"##0")," "),"")</f>
        <v>0</v>
      </c>
      <c r="AL58">
        <f t="array" ref="AL58">IFERROR(CONCATENATE((INDEX($A$7:$A$33,SMALL(IF($AM$7:$AM$33&lt;&gt;"",IF($AJ$7:$AJ$33&lt;&gt;"",ROW($AJ$7:$AJ$33)-MIN(ROW($AJ$7:$AJ$33))+1,""),""),ROW()-ROW(A$36)+1))),),"")</f>
        <v>0</v>
      </c>
    </row>
    <row r="59" spans="11:38">
      <c r="K59">
        <f t="array" ref="K59">IFERROR(CONCATENATE(TEXT(INDEX($K$7:$K$33,SMALL(IF($N$7:$N$33&lt;&gt;"",IF($K$7:$K$33&lt;&gt;"",ROW($K$7:$K$33)-MIN(ROW($K$7:$K$33))+1,""),""),ROW()-ROW(A$36)+1)),"##0"),","),"")</f>
        <v>0</v>
      </c>
      <c r="L59">
        <f t="array" ref="L59">IFERROR(CONCATENATE((INDEX($N$7:$N$33,SMALL(IF($N$7:$N$33&lt;&gt;"",IF($K$7:$K$33&lt;&gt;"",ROW($K$7:$K$33)-MIN(ROW($K$7:$K$33))+1,""),""),ROW()-ROW(A$36)+1))),","),"")</f>
        <v>0</v>
      </c>
      <c r="M59">
        <f t="array" ref="M59">IFERROR(CONCATENATE((INDEX($A$7:$A$33,SMALL(IF($N$7:$N$33&lt;&gt;"",IF($K$7:$K$33&lt;&gt;"",ROW($K$7:$K$33)-MIN(ROW($K$7:$K$33))+1,""),""),ROW()-ROW(A$36)+1))),),"")</f>
        <v>0</v>
      </c>
      <c r="P59">
        <f t="array" ref="P59">IFERROR(CONCATENATE((INDEX($S$7:$S$33,SMALL(IF($S$7:$S$33&lt;&gt;"",IF($P$7:$P$33&lt;&gt;"",ROW($P$7:$P$33)-MIN(ROW($P$7:$P$33))+1,""),""),ROW()-ROW(A$36)+1)))," "),"")</f>
        <v>0</v>
      </c>
      <c r="Q59">
        <f t="array" ref="Q59">IFERROR(CONCATENATE(TEXT(INDEX($P$7:$P$33,SMALL(IF($S$7:$S$33&lt;&gt;"",IF($P$7:$P$33&lt;&gt;"",ROW($P$7:$P$33)-MIN(ROW($P$7:$P$33))+1,""),""),ROW()-ROW(A$36)+1)),"##0")," "),"")</f>
        <v>0</v>
      </c>
      <c r="R59">
        <f t="array" ref="R59">IFERROR(CONCATENATE((INDEX($A$7:$A$33,SMALL(IF($S$7:$S$33&lt;&gt;"",IF($P$7:$P$33&lt;&gt;"",ROW($P$7:$P$33)-MIN(ROW($P$7:$P$33))+1,""),""),ROW()-ROW(A$36)+1))),),"")</f>
        <v>0</v>
      </c>
      <c r="U59">
        <f t="array" ref="U59">IFERROR(CONCATENATE((INDEX($X$7:$X$33,SMALL(IF($X$7:$X$33&lt;&gt;"",IF($U$7:$U$33&lt;&gt;"",ROW($U$7:$U$33)-MIN(ROW($U$7:$U$33))+1,""),""),ROW()-ROW(A$36)+1)))," "),"")</f>
        <v>0</v>
      </c>
      <c r="V59">
        <f t="array" ref="V59">IFERROR(CONCATENATE(TEXT(INDEX($U$7:$U$33,SMALL(IF($X$7:$X$33&lt;&gt;"",IF($U$7:$U$33&lt;&gt;"",ROW($U$7:$U$33)-MIN(ROW($U$7:$U$33))+1,""),""),ROW()-ROW(A$36)+1)),"##0")," "),"")</f>
        <v>0</v>
      </c>
      <c r="W59">
        <f t="array" ref="W59">IFERROR(CONCATENATE((INDEX($A$7:$A$33,SMALL(IF($X$7:$X$33&lt;&gt;"",IF($U$7:$U$33&lt;&gt;"",ROW($U$7:$U$33)-MIN(ROW($U$7:$U$33))+1,""),""),ROW()-ROW(A$36)+1))),),"")</f>
        <v>0</v>
      </c>
      <c r="Z59">
        <f t="array" ref="Z59">IFERROR(CONCATENATE((INDEX($AC$7:$AC$33,SMALL(IF($AC$7:$AC$33&lt;&gt;"",IF($Z$7:$Z$33&lt;&gt;"",ROW($Z$7:$Z$33)-MIN(ROW($Z$7:$Z$33))+1,""),""),ROW()-ROW(A$36)+1))),","),"")</f>
        <v>0</v>
      </c>
      <c r="AA59">
        <f t="array" ref="AA59">IFERROR(CONCATENATE(TEXT(INDEX($Z$7:$Z$33,SMALL(IF($AC$7:$AC$33&lt;&gt;"",IF($Z$7:$Z$33&lt;&gt;"",ROW($Z$7:$Z$33)-MIN(ROW($Z$7:$Z$33))+1,""),""),ROW()-ROW(A$36)+1)),"##0"),","),"")</f>
        <v>0</v>
      </c>
      <c r="AB59">
        <f t="array" ref="AB59">IFERROR(CONCATENATE((INDEX($A$7:$A$33,SMALL(IF($AC$7:$AC$33&lt;&gt;"",IF($Z$7:$Z$33&lt;&gt;"",ROW($Z$7:$Z$33)-MIN(ROW($Z$7:$Z$33))+1,""),""),ROW()-ROW(A$36)+1))),),"")</f>
        <v>0</v>
      </c>
      <c r="AE59">
        <f t="array" ref="AE59">IFERROR(CONCATENATE((INDEX($AH$7:$AH$33,SMALL(IF($AH$7:$AH$33&lt;&gt;"",IF($AE$7:$AE$33&lt;&gt;"",ROW($AE$7:$AE$33)-MIN(ROW($AE$7:$AE$33))+1,""),""),ROW()-ROW(A$36)+1)))," "),"")</f>
        <v>0</v>
      </c>
      <c r="AF59">
        <f t="array" ref="AF59">IFERROR(CONCATENATE(TEXT(INDEX($AE$7:$AE$33,SMALL(IF($AH$7:$AH$33&lt;&gt;"",IF($AE$7:$AE$33&lt;&gt;"",ROW($AE$7:$AE$33)-MIN(ROW($AE$7:$AE$33))+1,""),""),ROW()-ROW(A$36)+1)),"##0")," "),"")</f>
        <v>0</v>
      </c>
      <c r="AG59">
        <f t="array" ref="AG59">IFERROR(CONCATENATE((INDEX($A$7:$A$33,SMALL(IF($AH$7:$AH$33&lt;&gt;"",IF($AE$7:$AE$33&lt;&gt;"",ROW($AE$7:$AE$33)-MIN(ROW($AE$7:$AE$33))+1,""),""),ROW()-ROW(A$36)+1))),),"")</f>
        <v>0</v>
      </c>
      <c r="AJ59">
        <f t="array" ref="AJ59">IFERROR(CONCATENATE((INDEX($AM$7:$AM$33,SMALL(IF($AM$7:$AM$33&lt;&gt;"",IF($AJ$7:$AJ$33&lt;&gt;"",ROW($AJ$7:$AJ$33)-MIN(ROW($AJ$7:$AJ$33))+1,""),""),ROW()-ROW(A$36)+1)))," "),"")</f>
        <v>0</v>
      </c>
      <c r="AK59">
        <f t="array" ref="AK59">IFERROR(CONCATENATE(TEXT(INDEX($AJ$7:$AJ$33,SMALL(IF($AM$7:$AM$33&lt;&gt;"",IF($AJ$7:$AJ$33&lt;&gt;"",ROW($AJ$7:$AJ$33)-MIN(ROW($AJ$7:$AJ$33))+1,""),""),ROW()-ROW(A$36)+1)),"##0")," "),"")</f>
        <v>0</v>
      </c>
      <c r="AL59">
        <f t="array" ref="AL59">IFERROR(CONCATENATE((INDEX($A$7:$A$33,SMALL(IF($AM$7:$AM$33&lt;&gt;"",IF($AJ$7:$AJ$33&lt;&gt;"",ROW($AJ$7:$AJ$33)-MIN(ROW($AJ$7:$AJ$33))+1,""),""),ROW()-ROW(A$36)+1))),),"")</f>
        <v>0</v>
      </c>
    </row>
    <row r="60" spans="11:38">
      <c r="K60">
        <f t="array" ref="K60">IFERROR(CONCATENATE(TEXT(INDEX($K$7:$K$33,SMALL(IF($N$7:$N$33&lt;&gt;"",IF($K$7:$K$33&lt;&gt;"",ROW($K$7:$K$33)-MIN(ROW($K$7:$K$33))+1,""),""),ROW()-ROW(A$36)+1)),"##0"),","),"")</f>
        <v>0</v>
      </c>
      <c r="L60">
        <f t="array" ref="L60">IFERROR(CONCATENATE((INDEX($N$7:$N$33,SMALL(IF($N$7:$N$33&lt;&gt;"",IF($K$7:$K$33&lt;&gt;"",ROW($K$7:$K$33)-MIN(ROW($K$7:$K$33))+1,""),""),ROW()-ROW(A$36)+1))),","),"")</f>
        <v>0</v>
      </c>
      <c r="M60">
        <f t="array" ref="M60">IFERROR(CONCATENATE((INDEX($A$7:$A$33,SMALL(IF($N$7:$N$33&lt;&gt;"",IF($K$7:$K$33&lt;&gt;"",ROW($K$7:$K$33)-MIN(ROW($K$7:$K$33))+1,""),""),ROW()-ROW(A$36)+1))),),"")</f>
        <v>0</v>
      </c>
      <c r="P60">
        <f t="array" ref="P60">IFERROR(CONCATENATE((INDEX($S$7:$S$33,SMALL(IF($S$7:$S$33&lt;&gt;"",IF($P$7:$P$33&lt;&gt;"",ROW($P$7:$P$33)-MIN(ROW($P$7:$P$33))+1,""),""),ROW()-ROW(A$36)+1)))," "),"")</f>
        <v>0</v>
      </c>
      <c r="Q60">
        <f t="array" ref="Q60">IFERROR(CONCATENATE(TEXT(INDEX($P$7:$P$33,SMALL(IF($S$7:$S$33&lt;&gt;"",IF($P$7:$P$33&lt;&gt;"",ROW($P$7:$P$33)-MIN(ROW($P$7:$P$33))+1,""),""),ROW()-ROW(A$36)+1)),"##0")," "),"")</f>
        <v>0</v>
      </c>
      <c r="R60">
        <f t="array" ref="R60">IFERROR(CONCATENATE((INDEX($A$7:$A$33,SMALL(IF($S$7:$S$33&lt;&gt;"",IF($P$7:$P$33&lt;&gt;"",ROW($P$7:$P$33)-MIN(ROW($P$7:$P$33))+1,""),""),ROW()-ROW(A$36)+1))),),"")</f>
        <v>0</v>
      </c>
      <c r="U60">
        <f t="array" ref="U60">IFERROR(CONCATENATE((INDEX($X$7:$X$33,SMALL(IF($X$7:$X$33&lt;&gt;"",IF($U$7:$U$33&lt;&gt;"",ROW($U$7:$U$33)-MIN(ROW($U$7:$U$33))+1,""),""),ROW()-ROW(A$36)+1)))," "),"")</f>
        <v>0</v>
      </c>
      <c r="V60">
        <f t="array" ref="V60">IFERROR(CONCATENATE(TEXT(INDEX($U$7:$U$33,SMALL(IF($X$7:$X$33&lt;&gt;"",IF($U$7:$U$33&lt;&gt;"",ROW($U$7:$U$33)-MIN(ROW($U$7:$U$33))+1,""),""),ROW()-ROW(A$36)+1)),"##0")," "),"")</f>
        <v>0</v>
      </c>
      <c r="W60">
        <f t="array" ref="W60">IFERROR(CONCATENATE((INDEX($A$7:$A$33,SMALL(IF($X$7:$X$33&lt;&gt;"",IF($U$7:$U$33&lt;&gt;"",ROW($U$7:$U$33)-MIN(ROW($U$7:$U$33))+1,""),""),ROW()-ROW(A$36)+1))),),"")</f>
        <v>0</v>
      </c>
      <c r="Z60">
        <f t="array" ref="Z60">IFERROR(CONCATENATE((INDEX($AC$7:$AC$33,SMALL(IF($AC$7:$AC$33&lt;&gt;"",IF($Z$7:$Z$33&lt;&gt;"",ROW($Z$7:$Z$33)-MIN(ROW($Z$7:$Z$33))+1,""),""),ROW()-ROW(A$36)+1))),","),"")</f>
        <v>0</v>
      </c>
      <c r="AA60">
        <f t="array" ref="AA60">IFERROR(CONCATENATE(TEXT(INDEX($Z$7:$Z$33,SMALL(IF($AC$7:$AC$33&lt;&gt;"",IF($Z$7:$Z$33&lt;&gt;"",ROW($Z$7:$Z$33)-MIN(ROW($Z$7:$Z$33))+1,""),""),ROW()-ROW(A$36)+1)),"##0"),","),"")</f>
        <v>0</v>
      </c>
      <c r="AB60">
        <f t="array" ref="AB60">IFERROR(CONCATENATE((INDEX($A$7:$A$33,SMALL(IF($AC$7:$AC$33&lt;&gt;"",IF($Z$7:$Z$33&lt;&gt;"",ROW($Z$7:$Z$33)-MIN(ROW($Z$7:$Z$33))+1,""),""),ROW()-ROW(A$36)+1))),),"")</f>
        <v>0</v>
      </c>
      <c r="AE60">
        <f t="array" ref="AE60">IFERROR(CONCATENATE((INDEX($AH$7:$AH$33,SMALL(IF($AH$7:$AH$33&lt;&gt;"",IF($AE$7:$AE$33&lt;&gt;"",ROW($AE$7:$AE$33)-MIN(ROW($AE$7:$AE$33))+1,""),""),ROW()-ROW(A$36)+1)))," "),"")</f>
        <v>0</v>
      </c>
      <c r="AF60">
        <f t="array" ref="AF60">IFERROR(CONCATENATE(TEXT(INDEX($AE$7:$AE$33,SMALL(IF($AH$7:$AH$33&lt;&gt;"",IF($AE$7:$AE$33&lt;&gt;"",ROW($AE$7:$AE$33)-MIN(ROW($AE$7:$AE$33))+1,""),""),ROW()-ROW(A$36)+1)),"##0")," "),"")</f>
        <v>0</v>
      </c>
      <c r="AG60">
        <f t="array" ref="AG60">IFERROR(CONCATENATE((INDEX($A$7:$A$33,SMALL(IF($AH$7:$AH$33&lt;&gt;"",IF($AE$7:$AE$33&lt;&gt;"",ROW($AE$7:$AE$33)-MIN(ROW($AE$7:$AE$33))+1,""),""),ROW()-ROW(A$36)+1))),),"")</f>
        <v>0</v>
      </c>
      <c r="AJ60">
        <f t="array" ref="AJ60">IFERROR(CONCATENATE((INDEX($AM$7:$AM$33,SMALL(IF($AM$7:$AM$33&lt;&gt;"",IF($AJ$7:$AJ$33&lt;&gt;"",ROW($AJ$7:$AJ$33)-MIN(ROW($AJ$7:$AJ$33))+1,""),""),ROW()-ROW(A$36)+1)))," "),"")</f>
        <v>0</v>
      </c>
      <c r="AK60">
        <f t="array" ref="AK60">IFERROR(CONCATENATE(TEXT(INDEX($AJ$7:$AJ$33,SMALL(IF($AM$7:$AM$33&lt;&gt;"",IF($AJ$7:$AJ$33&lt;&gt;"",ROW($AJ$7:$AJ$33)-MIN(ROW($AJ$7:$AJ$33))+1,""),""),ROW()-ROW(A$36)+1)),"##0")," "),"")</f>
        <v>0</v>
      </c>
      <c r="AL60">
        <f t="array" ref="AL60">IFERROR(CONCATENATE((INDEX($A$7:$A$33,SMALL(IF($AM$7:$AM$33&lt;&gt;"",IF($AJ$7:$AJ$33&lt;&gt;"",ROW($AJ$7:$AJ$33)-MIN(ROW($AJ$7:$AJ$33))+1,""),""),ROW()-ROW(A$36)+1))),),"")</f>
        <v>0</v>
      </c>
    </row>
    <row r="61" spans="11:38">
      <c r="K61">
        <f t="array" ref="K61">IFERROR(CONCATENATE(TEXT(INDEX($K$7:$K$33,SMALL(IF($N$7:$N$33&lt;&gt;"",IF($K$7:$K$33&lt;&gt;"",ROW($K$7:$K$33)-MIN(ROW($K$7:$K$33))+1,""),""),ROW()-ROW(A$36)+1)),"##0"),","),"")</f>
        <v>0</v>
      </c>
      <c r="L61">
        <f t="array" ref="L61">IFERROR(CONCATENATE((INDEX($N$7:$N$33,SMALL(IF($N$7:$N$33&lt;&gt;"",IF($K$7:$K$33&lt;&gt;"",ROW($K$7:$K$33)-MIN(ROW($K$7:$K$33))+1,""),""),ROW()-ROW(A$36)+1))),","),"")</f>
        <v>0</v>
      </c>
      <c r="M61">
        <f t="array" ref="M61">IFERROR(CONCATENATE((INDEX($A$7:$A$33,SMALL(IF($N$7:$N$33&lt;&gt;"",IF($K$7:$K$33&lt;&gt;"",ROW($K$7:$K$33)-MIN(ROW($K$7:$K$33))+1,""),""),ROW()-ROW(A$36)+1))),),"")</f>
        <v>0</v>
      </c>
      <c r="P61">
        <f t="array" ref="P61">IFERROR(CONCATENATE((INDEX($S$7:$S$33,SMALL(IF($S$7:$S$33&lt;&gt;"",IF($P$7:$P$33&lt;&gt;"",ROW($P$7:$P$33)-MIN(ROW($P$7:$P$33))+1,""),""),ROW()-ROW(A$36)+1)))," "),"")</f>
        <v>0</v>
      </c>
      <c r="Q61">
        <f t="array" ref="Q61">IFERROR(CONCATENATE(TEXT(INDEX($P$7:$P$33,SMALL(IF($S$7:$S$33&lt;&gt;"",IF($P$7:$P$33&lt;&gt;"",ROW($P$7:$P$33)-MIN(ROW($P$7:$P$33))+1,""),""),ROW()-ROW(A$36)+1)),"##0")," "),"")</f>
        <v>0</v>
      </c>
      <c r="R61">
        <f t="array" ref="R61">IFERROR(CONCATENATE((INDEX($A$7:$A$33,SMALL(IF($S$7:$S$33&lt;&gt;"",IF($P$7:$P$33&lt;&gt;"",ROW($P$7:$P$33)-MIN(ROW($P$7:$P$33))+1,""),""),ROW()-ROW(A$36)+1))),),"")</f>
        <v>0</v>
      </c>
      <c r="U61">
        <f t="array" ref="U61">IFERROR(CONCATENATE((INDEX($X$7:$X$33,SMALL(IF($X$7:$X$33&lt;&gt;"",IF($U$7:$U$33&lt;&gt;"",ROW($U$7:$U$33)-MIN(ROW($U$7:$U$33))+1,""),""),ROW()-ROW(A$36)+1)))," "),"")</f>
        <v>0</v>
      </c>
      <c r="V61">
        <f t="array" ref="V61">IFERROR(CONCATENATE(TEXT(INDEX($U$7:$U$33,SMALL(IF($X$7:$X$33&lt;&gt;"",IF($U$7:$U$33&lt;&gt;"",ROW($U$7:$U$33)-MIN(ROW($U$7:$U$33))+1,""),""),ROW()-ROW(A$36)+1)),"##0")," "),"")</f>
        <v>0</v>
      </c>
      <c r="W61">
        <f t="array" ref="W61">IFERROR(CONCATENATE((INDEX($A$7:$A$33,SMALL(IF($X$7:$X$33&lt;&gt;"",IF($U$7:$U$33&lt;&gt;"",ROW($U$7:$U$33)-MIN(ROW($U$7:$U$33))+1,""),""),ROW()-ROW(A$36)+1))),),"")</f>
        <v>0</v>
      </c>
      <c r="Z61">
        <f t="array" ref="Z61">IFERROR(CONCATENATE((INDEX($AC$7:$AC$33,SMALL(IF($AC$7:$AC$33&lt;&gt;"",IF($Z$7:$Z$33&lt;&gt;"",ROW($Z$7:$Z$33)-MIN(ROW($Z$7:$Z$33))+1,""),""),ROW()-ROW(A$36)+1))),","),"")</f>
        <v>0</v>
      </c>
      <c r="AA61">
        <f t="array" ref="AA61">IFERROR(CONCATENATE(TEXT(INDEX($Z$7:$Z$33,SMALL(IF($AC$7:$AC$33&lt;&gt;"",IF($Z$7:$Z$33&lt;&gt;"",ROW($Z$7:$Z$33)-MIN(ROW($Z$7:$Z$33))+1,""),""),ROW()-ROW(A$36)+1)),"##0"),","),"")</f>
        <v>0</v>
      </c>
      <c r="AB61">
        <f t="array" ref="AB61">IFERROR(CONCATENATE((INDEX($A$7:$A$33,SMALL(IF($AC$7:$AC$33&lt;&gt;"",IF($Z$7:$Z$33&lt;&gt;"",ROW($Z$7:$Z$33)-MIN(ROW($Z$7:$Z$33))+1,""),""),ROW()-ROW(A$36)+1))),),"")</f>
        <v>0</v>
      </c>
      <c r="AE61">
        <f t="array" ref="AE61">IFERROR(CONCATENATE((INDEX($AH$7:$AH$33,SMALL(IF($AH$7:$AH$33&lt;&gt;"",IF($AE$7:$AE$33&lt;&gt;"",ROW($AE$7:$AE$33)-MIN(ROW($AE$7:$AE$33))+1,""),""),ROW()-ROW(A$36)+1)))," "),"")</f>
        <v>0</v>
      </c>
      <c r="AF61">
        <f t="array" ref="AF61">IFERROR(CONCATENATE(TEXT(INDEX($AE$7:$AE$33,SMALL(IF($AH$7:$AH$33&lt;&gt;"",IF($AE$7:$AE$33&lt;&gt;"",ROW($AE$7:$AE$33)-MIN(ROW($AE$7:$AE$33))+1,""),""),ROW()-ROW(A$36)+1)),"##0")," "),"")</f>
        <v>0</v>
      </c>
      <c r="AG61">
        <f t="array" ref="AG61">IFERROR(CONCATENATE((INDEX($A$7:$A$33,SMALL(IF($AH$7:$AH$33&lt;&gt;"",IF($AE$7:$AE$33&lt;&gt;"",ROW($AE$7:$AE$33)-MIN(ROW($AE$7:$AE$33))+1,""),""),ROW()-ROW(A$36)+1))),),"")</f>
        <v>0</v>
      </c>
      <c r="AJ61">
        <f t="array" ref="AJ61">IFERROR(CONCATENATE((INDEX($AM$7:$AM$33,SMALL(IF($AM$7:$AM$33&lt;&gt;"",IF($AJ$7:$AJ$33&lt;&gt;"",ROW($AJ$7:$AJ$33)-MIN(ROW($AJ$7:$AJ$33))+1,""),""),ROW()-ROW(A$36)+1)))," "),"")</f>
        <v>0</v>
      </c>
      <c r="AK61">
        <f t="array" ref="AK61">IFERROR(CONCATENATE(TEXT(INDEX($AJ$7:$AJ$33,SMALL(IF($AM$7:$AM$33&lt;&gt;"",IF($AJ$7:$AJ$33&lt;&gt;"",ROW($AJ$7:$AJ$33)-MIN(ROW($AJ$7:$AJ$33))+1,""),""),ROW()-ROW(A$36)+1)),"##0")," "),"")</f>
        <v>0</v>
      </c>
      <c r="AL61">
        <f t="array" ref="AL61">IFERROR(CONCATENATE((INDEX($A$7:$A$33,SMALL(IF($AM$7:$AM$33&lt;&gt;"",IF($AJ$7:$AJ$33&lt;&gt;"",ROW($AJ$7:$AJ$33)-MIN(ROW($AJ$7:$AJ$33))+1,""),""),ROW()-ROW(A$36)+1))),),"")</f>
        <v>0</v>
      </c>
    </row>
    <row r="62" spans="11:38">
      <c r="K62">
        <f t="array" ref="K62">IFERROR(CONCATENATE(TEXT(INDEX($K$7:$K$33,SMALL(IF($N$7:$N$33&lt;&gt;"",IF($K$7:$K$33&lt;&gt;"",ROW($K$7:$K$33)-MIN(ROW($K$7:$K$33))+1,""),""),ROW()-ROW(A$36)+1)),"##0"),","),"")</f>
        <v>0</v>
      </c>
      <c r="L62">
        <f t="array" ref="L62">IFERROR(CONCATENATE((INDEX($N$7:$N$33,SMALL(IF($N$7:$N$33&lt;&gt;"",IF($K$7:$K$33&lt;&gt;"",ROW($K$7:$K$33)-MIN(ROW($K$7:$K$33))+1,""),""),ROW()-ROW(A$36)+1))),","),"")</f>
        <v>0</v>
      </c>
      <c r="M62">
        <f t="array" ref="M62">IFERROR(CONCATENATE((INDEX($A$7:$A$33,SMALL(IF($N$7:$N$33&lt;&gt;"",IF($K$7:$K$33&lt;&gt;"",ROW($K$7:$K$33)-MIN(ROW($K$7:$K$33))+1,""),""),ROW()-ROW(A$36)+1))),),"")</f>
        <v>0</v>
      </c>
      <c r="P62">
        <f t="array" ref="P62">IFERROR(CONCATENATE((INDEX($S$7:$S$33,SMALL(IF($S$7:$S$33&lt;&gt;"",IF($P$7:$P$33&lt;&gt;"",ROW($P$7:$P$33)-MIN(ROW($P$7:$P$33))+1,""),""),ROW()-ROW(A$36)+1)))," "),"")</f>
        <v>0</v>
      </c>
      <c r="Q62">
        <f t="array" ref="Q62">IFERROR(CONCATENATE(TEXT(INDEX($P$7:$P$33,SMALL(IF($S$7:$S$33&lt;&gt;"",IF($P$7:$P$33&lt;&gt;"",ROW($P$7:$P$33)-MIN(ROW($P$7:$P$33))+1,""),""),ROW()-ROW(A$36)+1)),"##0")," "),"")</f>
        <v>0</v>
      </c>
      <c r="R62">
        <f t="array" ref="R62">IFERROR(CONCATENATE((INDEX($A$7:$A$33,SMALL(IF($S$7:$S$33&lt;&gt;"",IF($P$7:$P$33&lt;&gt;"",ROW($P$7:$P$33)-MIN(ROW($P$7:$P$33))+1,""),""),ROW()-ROW(A$36)+1))),),"")</f>
        <v>0</v>
      </c>
      <c r="U62">
        <f t="array" ref="U62">IFERROR(CONCATENATE((INDEX($X$7:$X$33,SMALL(IF($X$7:$X$33&lt;&gt;"",IF($U$7:$U$33&lt;&gt;"",ROW($U$7:$U$33)-MIN(ROW($U$7:$U$33))+1,""),""),ROW()-ROW(A$36)+1)))," "),"")</f>
        <v>0</v>
      </c>
      <c r="V62">
        <f t="array" ref="V62">IFERROR(CONCATENATE(TEXT(INDEX($U$7:$U$33,SMALL(IF($X$7:$X$33&lt;&gt;"",IF($U$7:$U$33&lt;&gt;"",ROW($U$7:$U$33)-MIN(ROW($U$7:$U$33))+1,""),""),ROW()-ROW(A$36)+1)),"##0")," "),"")</f>
        <v>0</v>
      </c>
      <c r="W62">
        <f t="array" ref="W62">IFERROR(CONCATENATE((INDEX($A$7:$A$33,SMALL(IF($X$7:$X$33&lt;&gt;"",IF($U$7:$U$33&lt;&gt;"",ROW($U$7:$U$33)-MIN(ROW($U$7:$U$33))+1,""),""),ROW()-ROW(A$36)+1))),),"")</f>
        <v>0</v>
      </c>
      <c r="Z62">
        <f t="array" ref="Z62">IFERROR(CONCATENATE((INDEX($AC$7:$AC$33,SMALL(IF($AC$7:$AC$33&lt;&gt;"",IF($Z$7:$Z$33&lt;&gt;"",ROW($Z$7:$Z$33)-MIN(ROW($Z$7:$Z$33))+1,""),""),ROW()-ROW(A$36)+1))),","),"")</f>
        <v>0</v>
      </c>
      <c r="AA62">
        <f t="array" ref="AA62">IFERROR(CONCATENATE(TEXT(INDEX($Z$7:$Z$33,SMALL(IF($AC$7:$AC$33&lt;&gt;"",IF($Z$7:$Z$33&lt;&gt;"",ROW($Z$7:$Z$33)-MIN(ROW($Z$7:$Z$33))+1,""),""),ROW()-ROW(A$36)+1)),"##0"),","),"")</f>
        <v>0</v>
      </c>
      <c r="AB62">
        <f t="array" ref="AB62">IFERROR(CONCATENATE((INDEX($A$7:$A$33,SMALL(IF($AC$7:$AC$33&lt;&gt;"",IF($Z$7:$Z$33&lt;&gt;"",ROW($Z$7:$Z$33)-MIN(ROW($Z$7:$Z$33))+1,""),""),ROW()-ROW(A$36)+1))),),"")</f>
        <v>0</v>
      </c>
      <c r="AE62">
        <f t="array" ref="AE62">IFERROR(CONCATENATE((INDEX($AH$7:$AH$33,SMALL(IF($AH$7:$AH$33&lt;&gt;"",IF($AE$7:$AE$33&lt;&gt;"",ROW($AE$7:$AE$33)-MIN(ROW($AE$7:$AE$33))+1,""),""),ROW()-ROW(A$36)+1)))," "),"")</f>
        <v>0</v>
      </c>
      <c r="AF62">
        <f t="array" ref="AF62">IFERROR(CONCATENATE(TEXT(INDEX($AE$7:$AE$33,SMALL(IF($AH$7:$AH$33&lt;&gt;"",IF($AE$7:$AE$33&lt;&gt;"",ROW($AE$7:$AE$33)-MIN(ROW($AE$7:$AE$33))+1,""),""),ROW()-ROW(A$36)+1)),"##0")," "),"")</f>
        <v>0</v>
      </c>
      <c r="AG62">
        <f t="array" ref="AG62">IFERROR(CONCATENATE((INDEX($A$7:$A$33,SMALL(IF($AH$7:$AH$33&lt;&gt;"",IF($AE$7:$AE$33&lt;&gt;"",ROW($AE$7:$AE$33)-MIN(ROW($AE$7:$AE$33))+1,""),""),ROW()-ROW(A$36)+1))),),"")</f>
        <v>0</v>
      </c>
      <c r="AJ62">
        <f t="array" ref="AJ62">IFERROR(CONCATENATE((INDEX($AM$7:$AM$33,SMALL(IF($AM$7:$AM$33&lt;&gt;"",IF($AJ$7:$AJ$33&lt;&gt;"",ROW($AJ$7:$AJ$33)-MIN(ROW($AJ$7:$AJ$33))+1,""),""),ROW()-ROW(A$36)+1)))," "),"")</f>
        <v>0</v>
      </c>
      <c r="AK62">
        <f t="array" ref="AK62">IFERROR(CONCATENATE(TEXT(INDEX($AJ$7:$AJ$33,SMALL(IF($AM$7:$AM$33&lt;&gt;"",IF($AJ$7:$AJ$33&lt;&gt;"",ROW($AJ$7:$AJ$33)-MIN(ROW($AJ$7:$AJ$33))+1,""),""),ROW()-ROW(A$36)+1)),"##0")," "),"")</f>
        <v>0</v>
      </c>
      <c r="AL62">
        <f t="array" ref="AL62">IFERROR(CONCATENATE((INDEX($A$7:$A$33,SMALL(IF($AM$7:$AM$33&lt;&gt;"",IF($AJ$7:$AJ$33&lt;&gt;"",ROW($AJ$7:$AJ$33)-MIN(ROW($AJ$7:$AJ$33))+1,""),""),ROW()-ROW(A$36)+1))),),"")</f>
        <v>0</v>
      </c>
    </row>
  </sheetData>
  <mergeCells count="7">
    <mergeCell ref="A5:I5"/>
    <mergeCell ref="J5:N5"/>
    <mergeCell ref="O5:S5"/>
    <mergeCell ref="T5:X5"/>
    <mergeCell ref="Y5:AC5"/>
    <mergeCell ref="AD5:AH5"/>
    <mergeCell ref="AI5:AM5"/>
  </mergeCells>
  <conditionalFormatting sqref="AA11">
    <cfRule type="cellIs" dxfId="4" priority="303" operator="lessThanOrEqual">
      <formula>H11</formula>
    </cfRule>
  </conditionalFormatting>
  <conditionalFormatting sqref="AA13">
    <cfRule type="cellIs" dxfId="4" priority="308" operator="lessThanOrEqual">
      <formula>H13</formula>
    </cfRule>
  </conditionalFormatting>
  <conditionalFormatting sqref="AA14">
    <cfRule type="cellIs" dxfId="4" priority="313" operator="lessThanOrEqual">
      <formula>H14</formula>
    </cfRule>
  </conditionalFormatting>
  <conditionalFormatting sqref="AA15">
    <cfRule type="cellIs" dxfId="4" priority="318" operator="lessThanOrEqual">
      <formula>H15</formula>
    </cfRule>
  </conditionalFormatting>
  <conditionalFormatting sqref="AA16">
    <cfRule type="cellIs" dxfId="4" priority="323" operator="lessThanOrEqual">
      <formula>H16</formula>
    </cfRule>
  </conditionalFormatting>
  <conditionalFormatting sqref="AA18">
    <cfRule type="cellIs" dxfId="4" priority="328" operator="lessThanOrEqual">
      <formula>H18</formula>
    </cfRule>
  </conditionalFormatting>
  <conditionalFormatting sqref="AA19">
    <cfRule type="cellIs" dxfId="4" priority="333" operator="lessThanOrEqual">
      <formula>H19</formula>
    </cfRule>
  </conditionalFormatting>
  <conditionalFormatting sqref="AA23">
    <cfRule type="cellIs" dxfId="4" priority="338" operator="lessThanOrEqual">
      <formula>H23</formula>
    </cfRule>
  </conditionalFormatting>
  <conditionalFormatting sqref="AA25">
    <cfRule type="cellIs" dxfId="4" priority="343" operator="lessThanOrEqual">
      <formula>H25</formula>
    </cfRule>
  </conditionalFormatting>
  <conditionalFormatting sqref="AA26">
    <cfRule type="cellIs" dxfId="4" priority="348" operator="lessThanOrEqual">
      <formula>H26</formula>
    </cfRule>
  </conditionalFormatting>
  <conditionalFormatting sqref="AA27">
    <cfRule type="cellIs" dxfId="4" priority="353" operator="lessThanOrEqual">
      <formula>H27</formula>
    </cfRule>
  </conditionalFormatting>
  <conditionalFormatting sqref="AA29">
    <cfRule type="cellIs" dxfId="4" priority="358" operator="lessThanOrEqual">
      <formula>H29</formula>
    </cfRule>
  </conditionalFormatting>
  <conditionalFormatting sqref="AA30">
    <cfRule type="cellIs" dxfId="4" priority="363" operator="lessThanOrEqual">
      <formula>H30</formula>
    </cfRule>
  </conditionalFormatting>
  <conditionalFormatting sqref="AA31">
    <cfRule type="cellIs" dxfId="4" priority="368" operator="lessThanOrEqual">
      <formula>H31</formula>
    </cfRule>
  </conditionalFormatting>
  <conditionalFormatting sqref="AA32">
    <cfRule type="cellIs" dxfId="4" priority="373" operator="lessThanOrEqual">
      <formula>H32</formula>
    </cfRule>
  </conditionalFormatting>
  <conditionalFormatting sqref="AA7">
    <cfRule type="cellIs" dxfId="4" priority="288" operator="lessThanOrEqual">
      <formula>H7</formula>
    </cfRule>
  </conditionalFormatting>
  <conditionalFormatting sqref="AA8">
    <cfRule type="cellIs" dxfId="4" priority="293" operator="lessThanOrEqual">
      <formula>H8</formula>
    </cfRule>
  </conditionalFormatting>
  <conditionalFormatting sqref="AA9">
    <cfRule type="cellIs" dxfId="4" priority="298" operator="lessThanOrEqual">
      <formula>H9</formula>
    </cfRule>
  </conditionalFormatting>
  <conditionalFormatting sqref="AB11">
    <cfRule type="cellIs" dxfId="4" priority="302" operator="lessThanOrEqual">
      <formula>I11</formula>
    </cfRule>
  </conditionalFormatting>
  <conditionalFormatting sqref="AB13">
    <cfRule type="cellIs" dxfId="4" priority="307" operator="lessThanOrEqual">
      <formula>I13</formula>
    </cfRule>
  </conditionalFormatting>
  <conditionalFormatting sqref="AB14">
    <cfRule type="cellIs" dxfId="4" priority="312" operator="lessThanOrEqual">
      <formula>I14</formula>
    </cfRule>
  </conditionalFormatting>
  <conditionalFormatting sqref="AB15">
    <cfRule type="cellIs" dxfId="4" priority="317" operator="lessThanOrEqual">
      <formula>I15</formula>
    </cfRule>
  </conditionalFormatting>
  <conditionalFormatting sqref="AB16">
    <cfRule type="cellIs" dxfId="4" priority="322" operator="lessThanOrEqual">
      <formula>I16</formula>
    </cfRule>
  </conditionalFormatting>
  <conditionalFormatting sqref="AB18">
    <cfRule type="cellIs" dxfId="4" priority="327" operator="lessThanOrEqual">
      <formula>I18</formula>
    </cfRule>
  </conditionalFormatting>
  <conditionalFormatting sqref="AB19">
    <cfRule type="cellIs" dxfId="4" priority="332" operator="lessThanOrEqual">
      <formula>I19</formula>
    </cfRule>
  </conditionalFormatting>
  <conditionalFormatting sqref="AB23">
    <cfRule type="cellIs" dxfId="4" priority="337" operator="lessThanOrEqual">
      <formula>I23</formula>
    </cfRule>
  </conditionalFormatting>
  <conditionalFormatting sqref="AB25">
    <cfRule type="cellIs" dxfId="4" priority="342" operator="lessThanOrEqual">
      <formula>I25</formula>
    </cfRule>
  </conditionalFormatting>
  <conditionalFormatting sqref="AB26">
    <cfRule type="cellIs" dxfId="4" priority="347" operator="lessThanOrEqual">
      <formula>I26</formula>
    </cfRule>
  </conditionalFormatting>
  <conditionalFormatting sqref="AB27">
    <cfRule type="cellIs" dxfId="4" priority="352" operator="lessThanOrEqual">
      <formula>I27</formula>
    </cfRule>
  </conditionalFormatting>
  <conditionalFormatting sqref="AB29">
    <cfRule type="cellIs" dxfId="4" priority="357" operator="lessThanOrEqual">
      <formula>I29</formula>
    </cfRule>
  </conditionalFormatting>
  <conditionalFormatting sqref="AB30">
    <cfRule type="cellIs" dxfId="4" priority="362" operator="lessThanOrEqual">
      <formula>I30</formula>
    </cfRule>
  </conditionalFormatting>
  <conditionalFormatting sqref="AB31">
    <cfRule type="cellIs" dxfId="4" priority="367" operator="lessThanOrEqual">
      <formula>I31</formula>
    </cfRule>
  </conditionalFormatting>
  <conditionalFormatting sqref="AB32">
    <cfRule type="cellIs" dxfId="4" priority="372" operator="lessThanOrEqual">
      <formula>I32</formula>
    </cfRule>
  </conditionalFormatting>
  <conditionalFormatting sqref="AB7">
    <cfRule type="cellIs" dxfId="4" priority="287" operator="lessThanOrEqual">
      <formula>I7</formula>
    </cfRule>
  </conditionalFormatting>
  <conditionalFormatting sqref="AB8">
    <cfRule type="cellIs" dxfId="4" priority="292" operator="lessThanOrEqual">
      <formula>I8</formula>
    </cfRule>
  </conditionalFormatting>
  <conditionalFormatting sqref="AB9">
    <cfRule type="cellIs" dxfId="4" priority="297" operator="lessThanOrEqual">
      <formula>I9</formula>
    </cfRule>
  </conditionalFormatting>
  <conditionalFormatting sqref="AD18">
    <cfRule type="cellIs" dxfId="1" priority="374" operator="equal">
      <formula>0</formula>
    </cfRule>
    <cfRule type="cellIs" dxfId="2" priority="375" operator="lessThan">
      <formula>G18</formula>
    </cfRule>
  </conditionalFormatting>
  <conditionalFormatting sqref="AE18">
    <cfRule type="cellIs" dxfId="1" priority="376" operator="greaterThan">
      <formula>AD18</formula>
    </cfRule>
  </conditionalFormatting>
  <conditionalFormatting sqref="AF18">
    <cfRule type="cellIs" dxfId="4" priority="378" operator="lessThanOrEqual">
      <formula>H18</formula>
    </cfRule>
  </conditionalFormatting>
  <conditionalFormatting sqref="AG18">
    <cfRule type="cellIs" dxfId="4" priority="377" operator="lessThanOrEqual">
      <formula>I18</formula>
    </cfRule>
  </conditionalFormatting>
  <conditionalFormatting sqref="AI14">
    <cfRule type="cellIs" dxfId="1" priority="379" operator="equal">
      <formula>0</formula>
    </cfRule>
    <cfRule type="cellIs" dxfId="2" priority="380" operator="lessThan">
      <formula>G14</formula>
    </cfRule>
  </conditionalFormatting>
  <conditionalFormatting sqref="AI16">
    <cfRule type="cellIs" dxfId="1" priority="384" operator="equal">
      <formula>0</formula>
    </cfRule>
    <cfRule type="cellIs" dxfId="2" priority="385" operator="lessThan">
      <formula>G16</formula>
    </cfRule>
  </conditionalFormatting>
  <conditionalFormatting sqref="AI27">
    <cfRule type="cellIs" dxfId="1" priority="389" operator="equal">
      <formula>0</formula>
    </cfRule>
    <cfRule type="cellIs" dxfId="2" priority="390" operator="lessThan">
      <formula>G27</formula>
    </cfRule>
  </conditionalFormatting>
  <conditionalFormatting sqref="AJ14">
    <cfRule type="cellIs" dxfId="1" priority="381" operator="greaterThan">
      <formula>AI14</formula>
    </cfRule>
  </conditionalFormatting>
  <conditionalFormatting sqref="AJ16">
    <cfRule type="cellIs" dxfId="1" priority="386" operator="greaterThan">
      <formula>AI16</formula>
    </cfRule>
  </conditionalFormatting>
  <conditionalFormatting sqref="AJ27">
    <cfRule type="cellIs" dxfId="1" priority="391" operator="greaterThan">
      <formula>AI27</formula>
    </cfRule>
  </conditionalFormatting>
  <conditionalFormatting sqref="AK14">
    <cfRule type="cellIs" dxfId="4" priority="383" operator="lessThanOrEqual">
      <formula>H14</formula>
    </cfRule>
  </conditionalFormatting>
  <conditionalFormatting sqref="AK16">
    <cfRule type="cellIs" dxfId="4" priority="388" operator="lessThanOrEqual">
      <formula>H16</formula>
    </cfRule>
  </conditionalFormatting>
  <conditionalFormatting sqref="AK27">
    <cfRule type="cellIs" dxfId="4" priority="393" operator="lessThanOrEqual">
      <formula>H27</formula>
    </cfRule>
  </conditionalFormatting>
  <conditionalFormatting sqref="AL14">
    <cfRule type="cellIs" dxfId="4" priority="382" operator="lessThanOrEqual">
      <formula>I14</formula>
    </cfRule>
  </conditionalFormatting>
  <conditionalFormatting sqref="AL16">
    <cfRule type="cellIs" dxfId="4" priority="387" operator="lessThanOrEqual">
      <formula>I16</formula>
    </cfRule>
  </conditionalFormatting>
  <conditionalFormatting sqref="AL27">
    <cfRule type="cellIs" dxfId="4" priority="392" operator="lessThanOrEqual">
      <formula>I27</formula>
    </cfRule>
  </conditionalFormatting>
  <conditionalFormatting sqref="G10">
    <cfRule type="expression" dxfId="0" priority="13">
      <formula>AND(ISBLANK(F10)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14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15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16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1">
    <cfRule type="expression" dxfId="0" priority="17">
      <formula>AND(ISBLANK(F11)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18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19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20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2">
    <cfRule type="expression" dxfId="0" priority="21">
      <formula>AND(ISBLANK(F12)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22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23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24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3">
    <cfRule type="expression" dxfId="0" priority="25">
      <formula>AND(ISBLANK(F13)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26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27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28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4">
    <cfRule type="expression" dxfId="0" priority="29">
      <formula>AND(ISBLANK(F14)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30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31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32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5">
    <cfRule type="expression" dxfId="0" priority="33">
      <formula>AND(ISBLANK(F15)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34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35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36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6">
    <cfRule type="expression" dxfId="0" priority="37">
      <formula>AND(ISBLANK(F16)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38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39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40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7">
    <cfRule type="expression" dxfId="0" priority="41">
      <formula>AND(ISBLANK(F17)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42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43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44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8">
    <cfRule type="expression" dxfId="0" priority="45">
      <formula>AND(ISBLANK(F18)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46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47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48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19">
    <cfRule type="expression" dxfId="0" priority="49">
      <formula>AND(ISBLANK(F19)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50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51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52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0">
    <cfRule type="expression" dxfId="0" priority="53">
      <formula>AND(ISBLANK(F20)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54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55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56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1">
    <cfRule type="expression" dxfId="0" priority="57">
      <formula>AND(ISBLANK(F21)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58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59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60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2">
    <cfRule type="expression" dxfId="0" priority="61">
      <formula>AND(ISBLANK(F22)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62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63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64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3">
    <cfRule type="expression" dxfId="0" priority="65">
      <formula>AND(ISBLANK(F23)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66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67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68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4">
    <cfRule type="expression" dxfId="0" priority="69">
      <formula>AND(ISBLANK(F24)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70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71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72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5">
    <cfRule type="expression" dxfId="0" priority="73">
      <formula>AND(ISBLANK(F25)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74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75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76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6">
    <cfRule type="expression" dxfId="0" priority="77">
      <formula>AND(ISBLANK(F26)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78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79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80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7">
    <cfRule type="expression" dxfId="0" priority="81">
      <formula>AND(ISBLANK(F27)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82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83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84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8">
    <cfRule type="expression" dxfId="0" priority="85">
      <formula>AND(ISBLANK(F28)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86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87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88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29">
    <cfRule type="expression" dxfId="0" priority="89">
      <formula>AND(ISBLANK(F29)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90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91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92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30">
    <cfRule type="expression" dxfId="0" priority="93">
      <formula>AND(ISBLANK(F30)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94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95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96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31">
    <cfRule type="expression" dxfId="0" priority="97">
      <formula>AND(ISBLANK(F31)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98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99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100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32">
    <cfRule type="expression" dxfId="0" priority="101">
      <formula>AND(ISBLANK(F32)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102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103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104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33">
    <cfRule type="expression" dxfId="0" priority="105">
      <formula>AND(ISBLANK(F33)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106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107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108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7">
    <cfRule type="expression" dxfId="0" priority="1">
      <formula>AND(ISBLANK(F7)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2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3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4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8">
    <cfRule type="expression" dxfId="0" priority="5">
      <formula>AND(ISBLANK(F8)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6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7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8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G9">
    <cfRule type="expression" dxfId="0" priority="9">
      <formula>AND(ISBLANK(F9),ISBLANK(INDIRECT(ADDRESS(ROW(),COLUMN(newark_part_data)+4))),ISBLANK(INDIRECT(ADDRESS(ROW(),COLUMN(tme_part_data)+4))),ISBLANK(INDIRECT(ADDRESS(ROW(),COLUMN(rs_part_data)+4))),ISBLANK(INDIRECT(ADDRESS(ROW(),COLUMN(digikey_part_data)+4))),ISBLANK(INDIRECT(ADDRESS(ROW(),COLUMN(farnell_part_data)+4))),ISBLANK(INDIRECT(ADDRESS(ROW(),COLUMN(mouser_part_data)+4))))</formula>
    </cfRule>
    <cfRule type="expression" dxfId="1" priority="10">
      <formula>IF(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=0,1,0)</formula>
    </cfRule>
    <cfRule type="cellIs" dxfId="2" priority="11" operator="greaterThan">
      <formula>SUM(INDIRECT(ADDRESS(ROW(),COLUMN(newark_part_data)+0)),INDIRECT(ADDRESS(ROW(),COLUMN(tme_part_data)+0)),INDIRECT(ADDRESS(ROW(),COLUMN(rs_part_data)+0)),INDIRECT(ADDRESS(ROW(),COLUMN(digikey_part_data)+0)),INDIRECT(ADDRESS(ROW(),COLUMN(farnell_part_data)+0)),INDIRECT(ADDRESS(ROW(),COLUMN(mouser_part_data)+0)))</formula>
    </cfRule>
    <cfRule type="cellIs" dxfId="3" priority="12" operator="greaterThan">
      <formula>SUM(IF(ISNUMBER(INDIRECT(ADDRESS(ROW(),COLUMN(newark_part_data)+2))),INDIRECT(ADDRESS(ROW(),COLUMN(newark_part_data)+1)),0),IF(ISNUMBER(INDIRECT(ADDRESS(ROW(),COLUMN(tme_part_data)+2))),INDIRECT(ADDRESS(ROW(),COLUMN(tme_part_data)+1)),0),IF(ISNUMBER(INDIRECT(ADDRESS(ROW(),COLUMN(rs_part_data)+2))),INDIRECT(ADDRESS(ROW(),COLUMN(rs_part_data)+1)),0),IF(ISNUMBER(INDIRECT(ADDRESS(ROW(),COLUMN(digikey_part_data)+2))),INDIRECT(ADDRESS(ROW(),COLUMN(digikey_part_data)+1)),0),IF(ISNUMBER(INDIRECT(ADDRESS(ROW(),COLUMN(farnell_part_data)+2))),INDIRECT(ADDRESS(ROW(),COLUMN(farnell_part_data)+1)),0),IF(ISNUMBER(INDIRECT(ADDRESS(ROW(),COLUMN(mouser_part_data)+2))),INDIRECT(ADDRESS(ROW(),COLUMN(mouser_part_data)+1)),0))</formula>
    </cfRule>
  </conditionalFormatting>
  <conditionalFormatting sqref="J11">
    <cfRule type="cellIs" dxfId="1" priority="119" operator="equal">
      <formula>0</formula>
    </cfRule>
    <cfRule type="cellIs" dxfId="2" priority="120" operator="lessThan">
      <formula>G11</formula>
    </cfRule>
  </conditionalFormatting>
  <conditionalFormatting sqref="J12">
    <cfRule type="cellIs" dxfId="1" priority="124" operator="equal">
      <formula>0</formula>
    </cfRule>
    <cfRule type="cellIs" dxfId="2" priority="125" operator="lessThan">
      <formula>G12</formula>
    </cfRule>
  </conditionalFormatting>
  <conditionalFormatting sqref="J14">
    <cfRule type="cellIs" dxfId="1" priority="129" operator="equal">
      <formula>0</formula>
    </cfRule>
    <cfRule type="cellIs" dxfId="2" priority="130" operator="lessThan">
      <formula>G14</formula>
    </cfRule>
  </conditionalFormatting>
  <conditionalFormatting sqref="J15">
    <cfRule type="cellIs" dxfId="1" priority="134" operator="equal">
      <formula>0</formula>
    </cfRule>
    <cfRule type="cellIs" dxfId="2" priority="135" operator="lessThan">
      <formula>G15</formula>
    </cfRule>
  </conditionalFormatting>
  <conditionalFormatting sqref="J16">
    <cfRule type="cellIs" dxfId="1" priority="139" operator="equal">
      <formula>0</formula>
    </cfRule>
    <cfRule type="cellIs" dxfId="2" priority="140" operator="lessThan">
      <formula>G16</formula>
    </cfRule>
  </conditionalFormatting>
  <conditionalFormatting sqref="J18">
    <cfRule type="cellIs" dxfId="1" priority="144" operator="equal">
      <formula>0</formula>
    </cfRule>
    <cfRule type="cellIs" dxfId="2" priority="145" operator="lessThan">
      <formula>G18</formula>
    </cfRule>
  </conditionalFormatting>
  <conditionalFormatting sqref="J19">
    <cfRule type="cellIs" dxfId="1" priority="149" operator="equal">
      <formula>0</formula>
    </cfRule>
    <cfRule type="cellIs" dxfId="2" priority="150" operator="lessThan">
      <formula>G19</formula>
    </cfRule>
  </conditionalFormatting>
  <conditionalFormatting sqref="J23">
    <cfRule type="cellIs" dxfId="1" priority="154" operator="equal">
      <formula>0</formula>
    </cfRule>
    <cfRule type="cellIs" dxfId="2" priority="155" operator="lessThan">
      <formula>G23</formula>
    </cfRule>
  </conditionalFormatting>
  <conditionalFormatting sqref="J24">
    <cfRule type="cellIs" dxfId="1" priority="159" operator="equal">
      <formula>0</formula>
    </cfRule>
    <cfRule type="cellIs" dxfId="2" priority="160" operator="lessThan">
      <formula>G24</formula>
    </cfRule>
  </conditionalFormatting>
  <conditionalFormatting sqref="J27">
    <cfRule type="cellIs" dxfId="1" priority="164" operator="equal">
      <formula>0</formula>
    </cfRule>
    <cfRule type="cellIs" dxfId="2" priority="165" operator="lessThan">
      <formula>G27</formula>
    </cfRule>
  </conditionalFormatting>
  <conditionalFormatting sqref="J29">
    <cfRule type="cellIs" dxfId="1" priority="169" operator="equal">
      <formula>0</formula>
    </cfRule>
    <cfRule type="cellIs" dxfId="2" priority="170" operator="lessThan">
      <formula>G29</formula>
    </cfRule>
  </conditionalFormatting>
  <conditionalFormatting sqref="J30">
    <cfRule type="cellIs" dxfId="1" priority="174" operator="equal">
      <formula>0</formula>
    </cfRule>
    <cfRule type="cellIs" dxfId="2" priority="175" operator="lessThan">
      <formula>G30</formula>
    </cfRule>
  </conditionalFormatting>
  <conditionalFormatting sqref="J31">
    <cfRule type="cellIs" dxfId="1" priority="179" operator="equal">
      <formula>0</formula>
    </cfRule>
    <cfRule type="cellIs" dxfId="2" priority="180" operator="lessThan">
      <formula>G31</formula>
    </cfRule>
  </conditionalFormatting>
  <conditionalFormatting sqref="J32">
    <cfRule type="cellIs" dxfId="1" priority="184" operator="equal">
      <formula>0</formula>
    </cfRule>
    <cfRule type="cellIs" dxfId="2" priority="185" operator="lessThan">
      <formula>G32</formula>
    </cfRule>
  </conditionalFormatting>
  <conditionalFormatting sqref="J7">
    <cfRule type="cellIs" dxfId="1" priority="109" operator="equal">
      <formula>0</formula>
    </cfRule>
    <cfRule type="cellIs" dxfId="2" priority="110" operator="lessThan">
      <formula>G7</formula>
    </cfRule>
  </conditionalFormatting>
  <conditionalFormatting sqref="J8">
    <cfRule type="cellIs" dxfId="1" priority="114" operator="equal">
      <formula>0</formula>
    </cfRule>
    <cfRule type="cellIs" dxfId="2" priority="115" operator="lessThan">
      <formula>G8</formula>
    </cfRule>
  </conditionalFormatting>
  <conditionalFormatting sqref="K11">
    <cfRule type="cellIs" dxfId="1" priority="121" operator="greaterThan">
      <formula>J11</formula>
    </cfRule>
  </conditionalFormatting>
  <conditionalFormatting sqref="K12">
    <cfRule type="cellIs" dxfId="1" priority="126" operator="greaterThan">
      <formula>J12</formula>
    </cfRule>
  </conditionalFormatting>
  <conditionalFormatting sqref="K14">
    <cfRule type="cellIs" dxfId="1" priority="131" operator="greaterThan">
      <formula>J14</formula>
    </cfRule>
  </conditionalFormatting>
  <conditionalFormatting sqref="K15">
    <cfRule type="cellIs" dxfId="1" priority="136" operator="greaterThan">
      <formula>J15</formula>
    </cfRule>
  </conditionalFormatting>
  <conditionalFormatting sqref="K16">
    <cfRule type="cellIs" dxfId="1" priority="141" operator="greaterThan">
      <formula>J16</formula>
    </cfRule>
  </conditionalFormatting>
  <conditionalFormatting sqref="K18">
    <cfRule type="cellIs" dxfId="1" priority="146" operator="greaterThan">
      <formula>J18</formula>
    </cfRule>
  </conditionalFormatting>
  <conditionalFormatting sqref="K19">
    <cfRule type="cellIs" dxfId="1" priority="151" operator="greaterThan">
      <formula>J19</formula>
    </cfRule>
  </conditionalFormatting>
  <conditionalFormatting sqref="K23">
    <cfRule type="cellIs" dxfId="1" priority="156" operator="greaterThan">
      <formula>J23</formula>
    </cfRule>
  </conditionalFormatting>
  <conditionalFormatting sqref="K24">
    <cfRule type="cellIs" dxfId="1" priority="161" operator="greaterThan">
      <formula>J24</formula>
    </cfRule>
  </conditionalFormatting>
  <conditionalFormatting sqref="K27">
    <cfRule type="cellIs" dxfId="1" priority="166" operator="greaterThan">
      <formula>J27</formula>
    </cfRule>
  </conditionalFormatting>
  <conditionalFormatting sqref="K29">
    <cfRule type="cellIs" dxfId="1" priority="171" operator="greaterThan">
      <formula>J29</formula>
    </cfRule>
  </conditionalFormatting>
  <conditionalFormatting sqref="K30">
    <cfRule type="cellIs" dxfId="1" priority="176" operator="greaterThan">
      <formula>J30</formula>
    </cfRule>
  </conditionalFormatting>
  <conditionalFormatting sqref="K31">
    <cfRule type="cellIs" dxfId="1" priority="181" operator="greaterThan">
      <formula>J31</formula>
    </cfRule>
  </conditionalFormatting>
  <conditionalFormatting sqref="K32">
    <cfRule type="cellIs" dxfId="1" priority="186" operator="greaterThan">
      <formula>J32</formula>
    </cfRule>
  </conditionalFormatting>
  <conditionalFormatting sqref="K7">
    <cfRule type="cellIs" dxfId="1" priority="111" operator="greaterThan">
      <formula>J7</formula>
    </cfRule>
  </conditionalFormatting>
  <conditionalFormatting sqref="K8">
    <cfRule type="cellIs" dxfId="1" priority="116" operator="greaterThan">
      <formula>J8</formula>
    </cfRule>
  </conditionalFormatting>
  <conditionalFormatting sqref="L11">
    <cfRule type="cellIs" dxfId="4" priority="123" operator="lessThanOrEqual">
      <formula>H11</formula>
    </cfRule>
  </conditionalFormatting>
  <conditionalFormatting sqref="L12">
    <cfRule type="cellIs" dxfId="4" priority="128" operator="lessThanOrEqual">
      <formula>H12</formula>
    </cfRule>
  </conditionalFormatting>
  <conditionalFormatting sqref="L14">
    <cfRule type="cellIs" dxfId="4" priority="133" operator="lessThanOrEqual">
      <formula>H14</formula>
    </cfRule>
  </conditionalFormatting>
  <conditionalFormatting sqref="L15">
    <cfRule type="cellIs" dxfId="4" priority="138" operator="lessThanOrEqual">
      <formula>H15</formula>
    </cfRule>
  </conditionalFormatting>
  <conditionalFormatting sqref="L16">
    <cfRule type="cellIs" dxfId="4" priority="143" operator="lessThanOrEqual">
      <formula>H16</formula>
    </cfRule>
  </conditionalFormatting>
  <conditionalFormatting sqref="L18">
    <cfRule type="cellIs" dxfId="4" priority="148" operator="lessThanOrEqual">
      <formula>H18</formula>
    </cfRule>
  </conditionalFormatting>
  <conditionalFormatting sqref="L19">
    <cfRule type="cellIs" dxfId="4" priority="153" operator="lessThanOrEqual">
      <formula>H19</formula>
    </cfRule>
  </conditionalFormatting>
  <conditionalFormatting sqref="L23">
    <cfRule type="cellIs" dxfId="4" priority="158" operator="lessThanOrEqual">
      <formula>H23</formula>
    </cfRule>
  </conditionalFormatting>
  <conditionalFormatting sqref="L24">
    <cfRule type="cellIs" dxfId="4" priority="163" operator="lessThanOrEqual">
      <formula>H24</formula>
    </cfRule>
  </conditionalFormatting>
  <conditionalFormatting sqref="L27">
    <cfRule type="cellIs" dxfId="4" priority="168" operator="lessThanOrEqual">
      <formula>H27</formula>
    </cfRule>
  </conditionalFormatting>
  <conditionalFormatting sqref="L29">
    <cfRule type="cellIs" dxfId="4" priority="173" operator="lessThanOrEqual">
      <formula>H29</formula>
    </cfRule>
  </conditionalFormatting>
  <conditionalFormatting sqref="L30">
    <cfRule type="cellIs" dxfId="4" priority="178" operator="lessThanOrEqual">
      <formula>H30</formula>
    </cfRule>
  </conditionalFormatting>
  <conditionalFormatting sqref="L31">
    <cfRule type="cellIs" dxfId="4" priority="183" operator="lessThanOrEqual">
      <formula>H31</formula>
    </cfRule>
  </conditionalFormatting>
  <conditionalFormatting sqref="L32">
    <cfRule type="cellIs" dxfId="4" priority="188" operator="lessThanOrEqual">
      <formula>H32</formula>
    </cfRule>
  </conditionalFormatting>
  <conditionalFormatting sqref="L7">
    <cfRule type="cellIs" dxfId="4" priority="113" operator="lessThanOrEqual">
      <formula>H7</formula>
    </cfRule>
  </conditionalFormatting>
  <conditionalFormatting sqref="L8">
    <cfRule type="cellIs" dxfId="4" priority="118" operator="lessThanOrEqual">
      <formula>H8</formula>
    </cfRule>
  </conditionalFormatting>
  <conditionalFormatting sqref="M11">
    <cfRule type="cellIs" dxfId="4" priority="122" operator="lessThanOrEqual">
      <formula>I11</formula>
    </cfRule>
  </conditionalFormatting>
  <conditionalFormatting sqref="M12">
    <cfRule type="cellIs" dxfId="4" priority="127" operator="lessThanOrEqual">
      <formula>I12</formula>
    </cfRule>
  </conditionalFormatting>
  <conditionalFormatting sqref="M14">
    <cfRule type="cellIs" dxfId="4" priority="132" operator="lessThanOrEqual">
      <formula>I14</formula>
    </cfRule>
  </conditionalFormatting>
  <conditionalFormatting sqref="M15">
    <cfRule type="cellIs" dxfId="4" priority="137" operator="lessThanOrEqual">
      <formula>I15</formula>
    </cfRule>
  </conditionalFormatting>
  <conditionalFormatting sqref="M16">
    <cfRule type="cellIs" dxfId="4" priority="142" operator="lessThanOrEqual">
      <formula>I16</formula>
    </cfRule>
  </conditionalFormatting>
  <conditionalFormatting sqref="M18">
    <cfRule type="cellIs" dxfId="4" priority="147" operator="lessThanOrEqual">
      <formula>I18</formula>
    </cfRule>
  </conditionalFormatting>
  <conditionalFormatting sqref="M19">
    <cfRule type="cellIs" dxfId="4" priority="152" operator="lessThanOrEqual">
      <formula>I19</formula>
    </cfRule>
  </conditionalFormatting>
  <conditionalFormatting sqref="M23">
    <cfRule type="cellIs" dxfId="4" priority="157" operator="lessThanOrEqual">
      <formula>I23</formula>
    </cfRule>
  </conditionalFormatting>
  <conditionalFormatting sqref="M24">
    <cfRule type="cellIs" dxfId="4" priority="162" operator="lessThanOrEqual">
      <formula>I24</formula>
    </cfRule>
  </conditionalFormatting>
  <conditionalFormatting sqref="M27">
    <cfRule type="cellIs" dxfId="4" priority="167" operator="lessThanOrEqual">
      <formula>I27</formula>
    </cfRule>
  </conditionalFormatting>
  <conditionalFormatting sqref="M29">
    <cfRule type="cellIs" dxfId="4" priority="172" operator="lessThanOrEqual">
      <formula>I29</formula>
    </cfRule>
  </conditionalFormatting>
  <conditionalFormatting sqref="M30">
    <cfRule type="cellIs" dxfId="4" priority="177" operator="lessThanOrEqual">
      <formula>I30</formula>
    </cfRule>
  </conditionalFormatting>
  <conditionalFormatting sqref="M31">
    <cfRule type="cellIs" dxfId="4" priority="182" operator="lessThanOrEqual">
      <formula>I31</formula>
    </cfRule>
  </conditionalFormatting>
  <conditionalFormatting sqref="M32">
    <cfRule type="cellIs" dxfId="4" priority="187" operator="lessThanOrEqual">
      <formula>I32</formula>
    </cfRule>
  </conditionalFormatting>
  <conditionalFormatting sqref="M7">
    <cfRule type="cellIs" dxfId="4" priority="112" operator="lessThanOrEqual">
      <formula>I7</formula>
    </cfRule>
  </conditionalFormatting>
  <conditionalFormatting sqref="M8">
    <cfRule type="cellIs" dxfId="4" priority="117" operator="lessThanOrEqual">
      <formula>I8</formula>
    </cfRule>
  </conditionalFormatting>
  <conditionalFormatting sqref="O11">
    <cfRule type="cellIs" dxfId="1" priority="199" operator="equal">
      <formula>0</formula>
    </cfRule>
    <cfRule type="cellIs" dxfId="2" priority="200" operator="lessThan">
      <formula>G11</formula>
    </cfRule>
  </conditionalFormatting>
  <conditionalFormatting sqref="O13">
    <cfRule type="cellIs" dxfId="1" priority="204" operator="equal">
      <formula>0</formula>
    </cfRule>
    <cfRule type="cellIs" dxfId="2" priority="205" operator="lessThan">
      <formula>G13</formula>
    </cfRule>
  </conditionalFormatting>
  <conditionalFormatting sqref="O14">
    <cfRule type="cellIs" dxfId="1" priority="209" operator="equal">
      <formula>0</formula>
    </cfRule>
    <cfRule type="cellIs" dxfId="2" priority="210" operator="lessThan">
      <formula>G14</formula>
    </cfRule>
  </conditionalFormatting>
  <conditionalFormatting sqref="O15">
    <cfRule type="cellIs" dxfId="1" priority="214" operator="equal">
      <formula>0</formula>
    </cfRule>
    <cfRule type="cellIs" dxfId="2" priority="215" operator="lessThan">
      <formula>G15</formula>
    </cfRule>
  </conditionalFormatting>
  <conditionalFormatting sqref="O16">
    <cfRule type="cellIs" dxfId="1" priority="219" operator="equal">
      <formula>0</formula>
    </cfRule>
    <cfRule type="cellIs" dxfId="2" priority="220" operator="lessThan">
      <formula>G16</formula>
    </cfRule>
  </conditionalFormatting>
  <conditionalFormatting sqref="O18">
    <cfRule type="cellIs" dxfId="1" priority="224" operator="equal">
      <formula>0</formula>
    </cfRule>
    <cfRule type="cellIs" dxfId="2" priority="225" operator="lessThan">
      <formula>G18</formula>
    </cfRule>
  </conditionalFormatting>
  <conditionalFormatting sqref="O19">
    <cfRule type="cellIs" dxfId="1" priority="229" operator="equal">
      <formula>0</formula>
    </cfRule>
    <cfRule type="cellIs" dxfId="2" priority="230" operator="lessThan">
      <formula>G19</formula>
    </cfRule>
  </conditionalFormatting>
  <conditionalFormatting sqref="O22">
    <cfRule type="cellIs" dxfId="1" priority="234" operator="equal">
      <formula>0</formula>
    </cfRule>
    <cfRule type="cellIs" dxfId="2" priority="235" operator="lessThan">
      <formula>G22</formula>
    </cfRule>
  </conditionalFormatting>
  <conditionalFormatting sqref="O24">
    <cfRule type="cellIs" dxfId="1" priority="239" operator="equal">
      <formula>0</formula>
    </cfRule>
    <cfRule type="cellIs" dxfId="2" priority="240" operator="lessThan">
      <formula>G24</formula>
    </cfRule>
  </conditionalFormatting>
  <conditionalFormatting sqref="O25">
    <cfRule type="cellIs" dxfId="1" priority="244" operator="equal">
      <formula>0</formula>
    </cfRule>
    <cfRule type="cellIs" dxfId="2" priority="245" operator="lessThan">
      <formula>G25</formula>
    </cfRule>
  </conditionalFormatting>
  <conditionalFormatting sqref="O26">
    <cfRule type="cellIs" dxfId="1" priority="249" operator="equal">
      <formula>0</formula>
    </cfRule>
    <cfRule type="cellIs" dxfId="2" priority="250" operator="lessThan">
      <formula>G26</formula>
    </cfRule>
  </conditionalFormatting>
  <conditionalFormatting sqref="O27">
    <cfRule type="cellIs" dxfId="1" priority="254" operator="equal">
      <formula>0</formula>
    </cfRule>
    <cfRule type="cellIs" dxfId="2" priority="255" operator="lessThan">
      <formula>G27</formula>
    </cfRule>
  </conditionalFormatting>
  <conditionalFormatting sqref="O29">
    <cfRule type="cellIs" dxfId="1" priority="259" operator="equal">
      <formula>0</formula>
    </cfRule>
    <cfRule type="cellIs" dxfId="2" priority="260" operator="lessThan">
      <formula>G29</formula>
    </cfRule>
  </conditionalFormatting>
  <conditionalFormatting sqref="O30">
    <cfRule type="cellIs" dxfId="1" priority="264" operator="equal">
      <formula>0</formula>
    </cfRule>
    <cfRule type="cellIs" dxfId="2" priority="265" operator="lessThan">
      <formula>G30</formula>
    </cfRule>
  </conditionalFormatting>
  <conditionalFormatting sqref="O32">
    <cfRule type="cellIs" dxfId="1" priority="269" operator="equal">
      <formula>0</formula>
    </cfRule>
    <cfRule type="cellIs" dxfId="2" priority="270" operator="lessThan">
      <formula>G32</formula>
    </cfRule>
  </conditionalFormatting>
  <conditionalFormatting sqref="O33">
    <cfRule type="cellIs" dxfId="1" priority="274" operator="equal">
      <formula>0</formula>
    </cfRule>
    <cfRule type="cellIs" dxfId="2" priority="275" operator="lessThan">
      <formula>G33</formula>
    </cfRule>
  </conditionalFormatting>
  <conditionalFormatting sqref="O7">
    <cfRule type="cellIs" dxfId="1" priority="189" operator="equal">
      <formula>0</formula>
    </cfRule>
    <cfRule type="cellIs" dxfId="2" priority="190" operator="lessThan">
      <formula>G7</formula>
    </cfRule>
  </conditionalFormatting>
  <conditionalFormatting sqref="O8">
    <cfRule type="cellIs" dxfId="1" priority="194" operator="equal">
      <formula>0</formula>
    </cfRule>
    <cfRule type="cellIs" dxfId="2" priority="195" operator="lessThan">
      <formula>G8</formula>
    </cfRule>
  </conditionalFormatting>
  <conditionalFormatting sqref="P11">
    <cfRule type="cellIs" dxfId="1" priority="201" operator="greaterThan">
      <formula>O11</formula>
    </cfRule>
  </conditionalFormatting>
  <conditionalFormatting sqref="P13">
    <cfRule type="cellIs" dxfId="1" priority="206" operator="greaterThan">
      <formula>O13</formula>
    </cfRule>
  </conditionalFormatting>
  <conditionalFormatting sqref="P14">
    <cfRule type="cellIs" dxfId="1" priority="211" operator="greaterThan">
      <formula>O14</formula>
    </cfRule>
  </conditionalFormatting>
  <conditionalFormatting sqref="P15">
    <cfRule type="cellIs" dxfId="1" priority="216" operator="greaterThan">
      <formula>O15</formula>
    </cfRule>
  </conditionalFormatting>
  <conditionalFormatting sqref="P16">
    <cfRule type="cellIs" dxfId="1" priority="221" operator="greaterThan">
      <formula>O16</formula>
    </cfRule>
  </conditionalFormatting>
  <conditionalFormatting sqref="P18">
    <cfRule type="cellIs" dxfId="1" priority="226" operator="greaterThan">
      <formula>O18</formula>
    </cfRule>
  </conditionalFormatting>
  <conditionalFormatting sqref="P19">
    <cfRule type="cellIs" dxfId="1" priority="231" operator="greaterThan">
      <formula>O19</formula>
    </cfRule>
  </conditionalFormatting>
  <conditionalFormatting sqref="P22">
    <cfRule type="cellIs" dxfId="1" priority="236" operator="greaterThan">
      <formula>O22</formula>
    </cfRule>
  </conditionalFormatting>
  <conditionalFormatting sqref="P24">
    <cfRule type="cellIs" dxfId="1" priority="241" operator="greaterThan">
      <formula>O24</formula>
    </cfRule>
  </conditionalFormatting>
  <conditionalFormatting sqref="P25">
    <cfRule type="cellIs" dxfId="1" priority="246" operator="greaterThan">
      <formula>O25</formula>
    </cfRule>
  </conditionalFormatting>
  <conditionalFormatting sqref="P26">
    <cfRule type="cellIs" dxfId="1" priority="251" operator="greaterThan">
      <formula>O26</formula>
    </cfRule>
  </conditionalFormatting>
  <conditionalFormatting sqref="P27">
    <cfRule type="cellIs" dxfId="1" priority="256" operator="greaterThan">
      <formula>O27</formula>
    </cfRule>
  </conditionalFormatting>
  <conditionalFormatting sqref="P29">
    <cfRule type="cellIs" dxfId="1" priority="261" operator="greaterThan">
      <formula>O29</formula>
    </cfRule>
  </conditionalFormatting>
  <conditionalFormatting sqref="P30">
    <cfRule type="cellIs" dxfId="1" priority="266" operator="greaterThan">
      <formula>O30</formula>
    </cfRule>
  </conditionalFormatting>
  <conditionalFormatting sqref="P32">
    <cfRule type="cellIs" dxfId="1" priority="271" operator="greaterThan">
      <formula>O32</formula>
    </cfRule>
  </conditionalFormatting>
  <conditionalFormatting sqref="P33">
    <cfRule type="cellIs" dxfId="1" priority="276" operator="greaterThan">
      <formula>O33</formula>
    </cfRule>
  </conditionalFormatting>
  <conditionalFormatting sqref="P7">
    <cfRule type="cellIs" dxfId="1" priority="191" operator="greaterThan">
      <formula>O7</formula>
    </cfRule>
  </conditionalFormatting>
  <conditionalFormatting sqref="P8">
    <cfRule type="cellIs" dxfId="1" priority="196" operator="greaterThan">
      <formula>O8</formula>
    </cfRule>
  </conditionalFormatting>
  <conditionalFormatting sqref="Q11">
    <cfRule type="cellIs" dxfId="4" priority="203" operator="lessThanOrEqual">
      <formula>H11</formula>
    </cfRule>
  </conditionalFormatting>
  <conditionalFormatting sqref="Q13">
    <cfRule type="cellIs" dxfId="4" priority="208" operator="lessThanOrEqual">
      <formula>H13</formula>
    </cfRule>
  </conditionalFormatting>
  <conditionalFormatting sqref="Q14">
    <cfRule type="cellIs" dxfId="4" priority="213" operator="lessThanOrEqual">
      <formula>H14</formula>
    </cfRule>
  </conditionalFormatting>
  <conditionalFormatting sqref="Q15">
    <cfRule type="cellIs" dxfId="4" priority="218" operator="lessThanOrEqual">
      <formula>H15</formula>
    </cfRule>
  </conditionalFormatting>
  <conditionalFormatting sqref="Q16">
    <cfRule type="cellIs" dxfId="4" priority="223" operator="lessThanOrEqual">
      <formula>H16</formula>
    </cfRule>
  </conditionalFormatting>
  <conditionalFormatting sqref="Q18">
    <cfRule type="cellIs" dxfId="4" priority="228" operator="lessThanOrEqual">
      <formula>H18</formula>
    </cfRule>
  </conditionalFormatting>
  <conditionalFormatting sqref="Q19">
    <cfRule type="cellIs" dxfId="4" priority="233" operator="lessThanOrEqual">
      <formula>H19</formula>
    </cfRule>
  </conditionalFormatting>
  <conditionalFormatting sqref="Q22">
    <cfRule type="cellIs" dxfId="4" priority="238" operator="lessThanOrEqual">
      <formula>H22</formula>
    </cfRule>
  </conditionalFormatting>
  <conditionalFormatting sqref="Q24">
    <cfRule type="cellIs" dxfId="4" priority="243" operator="lessThanOrEqual">
      <formula>H24</formula>
    </cfRule>
  </conditionalFormatting>
  <conditionalFormatting sqref="Q25">
    <cfRule type="cellIs" dxfId="4" priority="248" operator="lessThanOrEqual">
      <formula>H25</formula>
    </cfRule>
  </conditionalFormatting>
  <conditionalFormatting sqref="Q26">
    <cfRule type="cellIs" dxfId="4" priority="253" operator="lessThanOrEqual">
      <formula>H26</formula>
    </cfRule>
  </conditionalFormatting>
  <conditionalFormatting sqref="Q27">
    <cfRule type="cellIs" dxfId="4" priority="258" operator="lessThanOrEqual">
      <formula>H27</formula>
    </cfRule>
  </conditionalFormatting>
  <conditionalFormatting sqref="Q29">
    <cfRule type="cellIs" dxfId="4" priority="263" operator="lessThanOrEqual">
      <formula>H29</formula>
    </cfRule>
  </conditionalFormatting>
  <conditionalFormatting sqref="Q30">
    <cfRule type="cellIs" dxfId="4" priority="268" operator="lessThanOrEqual">
      <formula>H30</formula>
    </cfRule>
  </conditionalFormatting>
  <conditionalFormatting sqref="Q32">
    <cfRule type="cellIs" dxfId="4" priority="273" operator="lessThanOrEqual">
      <formula>H32</formula>
    </cfRule>
  </conditionalFormatting>
  <conditionalFormatting sqref="Q33">
    <cfRule type="cellIs" dxfId="4" priority="278" operator="lessThanOrEqual">
      <formula>H33</formula>
    </cfRule>
  </conditionalFormatting>
  <conditionalFormatting sqref="Q7">
    <cfRule type="cellIs" dxfId="4" priority="193" operator="lessThanOrEqual">
      <formula>H7</formula>
    </cfRule>
  </conditionalFormatting>
  <conditionalFormatting sqref="Q8">
    <cfRule type="cellIs" dxfId="4" priority="198" operator="lessThanOrEqual">
      <formula>H8</formula>
    </cfRule>
  </conditionalFormatting>
  <conditionalFormatting sqref="R11">
    <cfRule type="cellIs" dxfId="4" priority="202" operator="lessThanOrEqual">
      <formula>I11</formula>
    </cfRule>
  </conditionalFormatting>
  <conditionalFormatting sqref="R13">
    <cfRule type="cellIs" dxfId="4" priority="207" operator="lessThanOrEqual">
      <formula>I13</formula>
    </cfRule>
  </conditionalFormatting>
  <conditionalFormatting sqref="R14">
    <cfRule type="cellIs" dxfId="4" priority="212" operator="lessThanOrEqual">
      <formula>I14</formula>
    </cfRule>
  </conditionalFormatting>
  <conditionalFormatting sqref="R15">
    <cfRule type="cellIs" dxfId="4" priority="217" operator="lessThanOrEqual">
      <formula>I15</formula>
    </cfRule>
  </conditionalFormatting>
  <conditionalFormatting sqref="R16">
    <cfRule type="cellIs" dxfId="4" priority="222" operator="lessThanOrEqual">
      <formula>I16</formula>
    </cfRule>
  </conditionalFormatting>
  <conditionalFormatting sqref="R18">
    <cfRule type="cellIs" dxfId="4" priority="227" operator="lessThanOrEqual">
      <formula>I18</formula>
    </cfRule>
  </conditionalFormatting>
  <conditionalFormatting sqref="R19">
    <cfRule type="cellIs" dxfId="4" priority="232" operator="lessThanOrEqual">
      <formula>I19</formula>
    </cfRule>
  </conditionalFormatting>
  <conditionalFormatting sqref="R22">
    <cfRule type="cellIs" dxfId="4" priority="237" operator="lessThanOrEqual">
      <formula>I22</formula>
    </cfRule>
  </conditionalFormatting>
  <conditionalFormatting sqref="R24">
    <cfRule type="cellIs" dxfId="4" priority="242" operator="lessThanOrEqual">
      <formula>I24</formula>
    </cfRule>
  </conditionalFormatting>
  <conditionalFormatting sqref="R25">
    <cfRule type="cellIs" dxfId="4" priority="247" operator="lessThanOrEqual">
      <formula>I25</formula>
    </cfRule>
  </conditionalFormatting>
  <conditionalFormatting sqref="R26">
    <cfRule type="cellIs" dxfId="4" priority="252" operator="lessThanOrEqual">
      <formula>I26</formula>
    </cfRule>
  </conditionalFormatting>
  <conditionalFormatting sqref="R27">
    <cfRule type="cellIs" dxfId="4" priority="257" operator="lessThanOrEqual">
      <formula>I27</formula>
    </cfRule>
  </conditionalFormatting>
  <conditionalFormatting sqref="R29">
    <cfRule type="cellIs" dxfId="4" priority="262" operator="lessThanOrEqual">
      <formula>I29</formula>
    </cfRule>
  </conditionalFormatting>
  <conditionalFormatting sqref="R30">
    <cfRule type="cellIs" dxfId="4" priority="267" operator="lessThanOrEqual">
      <formula>I30</formula>
    </cfRule>
  </conditionalFormatting>
  <conditionalFormatting sqref="R32">
    <cfRule type="cellIs" dxfId="4" priority="272" operator="lessThanOrEqual">
      <formula>I32</formula>
    </cfRule>
  </conditionalFormatting>
  <conditionalFormatting sqref="R33">
    <cfRule type="cellIs" dxfId="4" priority="277" operator="lessThanOrEqual">
      <formula>I33</formula>
    </cfRule>
  </conditionalFormatting>
  <conditionalFormatting sqref="R7">
    <cfRule type="cellIs" dxfId="4" priority="192" operator="lessThanOrEqual">
      <formula>I7</formula>
    </cfRule>
  </conditionalFormatting>
  <conditionalFormatting sqref="R8">
    <cfRule type="cellIs" dxfId="4" priority="197" operator="lessThanOrEqual">
      <formula>I8</formula>
    </cfRule>
  </conditionalFormatting>
  <conditionalFormatting sqref="T14">
    <cfRule type="cellIs" dxfId="1" priority="279" operator="equal">
      <formula>0</formula>
    </cfRule>
    <cfRule type="cellIs" dxfId="2" priority="280" operator="lessThan">
      <formula>G14</formula>
    </cfRule>
  </conditionalFormatting>
  <conditionalFormatting sqref="U14">
    <cfRule type="cellIs" dxfId="1" priority="281" operator="greaterThan">
      <formula>T14</formula>
    </cfRule>
  </conditionalFormatting>
  <conditionalFormatting sqref="V14">
    <cfRule type="cellIs" dxfId="4" priority="283" operator="lessThanOrEqual">
      <formula>H14</formula>
    </cfRule>
  </conditionalFormatting>
  <conditionalFormatting sqref="W14">
    <cfRule type="cellIs" dxfId="4" priority="282" operator="lessThanOrEqual">
      <formula>I14</formula>
    </cfRule>
  </conditionalFormatting>
  <conditionalFormatting sqref="Y11">
    <cfRule type="cellIs" dxfId="1" priority="299" operator="equal">
      <formula>0</formula>
    </cfRule>
    <cfRule type="cellIs" dxfId="2" priority="300" operator="lessThan">
      <formula>G11</formula>
    </cfRule>
  </conditionalFormatting>
  <conditionalFormatting sqref="Y13">
    <cfRule type="cellIs" dxfId="1" priority="304" operator="equal">
      <formula>0</formula>
    </cfRule>
    <cfRule type="cellIs" dxfId="2" priority="305" operator="lessThan">
      <formula>G13</formula>
    </cfRule>
  </conditionalFormatting>
  <conditionalFormatting sqref="Y14">
    <cfRule type="cellIs" dxfId="1" priority="309" operator="equal">
      <formula>0</formula>
    </cfRule>
    <cfRule type="cellIs" dxfId="2" priority="310" operator="lessThan">
      <formula>G14</formula>
    </cfRule>
  </conditionalFormatting>
  <conditionalFormatting sqref="Y15">
    <cfRule type="cellIs" dxfId="1" priority="314" operator="equal">
      <formula>0</formula>
    </cfRule>
    <cfRule type="cellIs" dxfId="2" priority="315" operator="lessThan">
      <formula>G15</formula>
    </cfRule>
  </conditionalFormatting>
  <conditionalFormatting sqref="Y16">
    <cfRule type="cellIs" dxfId="1" priority="319" operator="equal">
      <formula>0</formula>
    </cfRule>
    <cfRule type="cellIs" dxfId="2" priority="320" operator="lessThan">
      <formula>G16</formula>
    </cfRule>
  </conditionalFormatting>
  <conditionalFormatting sqref="Y18">
    <cfRule type="cellIs" dxfId="1" priority="324" operator="equal">
      <formula>0</formula>
    </cfRule>
    <cfRule type="cellIs" dxfId="2" priority="325" operator="lessThan">
      <formula>G18</formula>
    </cfRule>
  </conditionalFormatting>
  <conditionalFormatting sqref="Y19">
    <cfRule type="cellIs" dxfId="1" priority="329" operator="equal">
      <formula>0</formula>
    </cfRule>
    <cfRule type="cellIs" dxfId="2" priority="330" operator="lessThan">
      <formula>G19</formula>
    </cfRule>
  </conditionalFormatting>
  <conditionalFormatting sqref="Y23">
    <cfRule type="cellIs" dxfId="1" priority="334" operator="equal">
      <formula>0</formula>
    </cfRule>
    <cfRule type="cellIs" dxfId="2" priority="335" operator="lessThan">
      <formula>G23</formula>
    </cfRule>
  </conditionalFormatting>
  <conditionalFormatting sqref="Y25">
    <cfRule type="cellIs" dxfId="1" priority="339" operator="equal">
      <formula>0</formula>
    </cfRule>
    <cfRule type="cellIs" dxfId="2" priority="340" operator="lessThan">
      <formula>G25</formula>
    </cfRule>
  </conditionalFormatting>
  <conditionalFormatting sqref="Y26">
    <cfRule type="cellIs" dxfId="1" priority="344" operator="equal">
      <formula>0</formula>
    </cfRule>
    <cfRule type="cellIs" dxfId="2" priority="345" operator="lessThan">
      <formula>G26</formula>
    </cfRule>
  </conditionalFormatting>
  <conditionalFormatting sqref="Y27">
    <cfRule type="cellIs" dxfId="1" priority="349" operator="equal">
      <formula>0</formula>
    </cfRule>
    <cfRule type="cellIs" dxfId="2" priority="350" operator="lessThan">
      <formula>G27</formula>
    </cfRule>
  </conditionalFormatting>
  <conditionalFormatting sqref="Y29">
    <cfRule type="cellIs" dxfId="1" priority="354" operator="equal">
      <formula>0</formula>
    </cfRule>
    <cfRule type="cellIs" dxfId="2" priority="355" operator="lessThan">
      <formula>G29</formula>
    </cfRule>
  </conditionalFormatting>
  <conditionalFormatting sqref="Y30">
    <cfRule type="cellIs" dxfId="1" priority="359" operator="equal">
      <formula>0</formula>
    </cfRule>
    <cfRule type="cellIs" dxfId="2" priority="360" operator="lessThan">
      <formula>G30</formula>
    </cfRule>
  </conditionalFormatting>
  <conditionalFormatting sqref="Y31">
    <cfRule type="cellIs" dxfId="1" priority="364" operator="equal">
      <formula>0</formula>
    </cfRule>
    <cfRule type="cellIs" dxfId="2" priority="365" operator="lessThan">
      <formula>G31</formula>
    </cfRule>
  </conditionalFormatting>
  <conditionalFormatting sqref="Y32">
    <cfRule type="cellIs" dxfId="1" priority="369" operator="equal">
      <formula>0</formula>
    </cfRule>
    <cfRule type="cellIs" dxfId="2" priority="370" operator="lessThan">
      <formula>G32</formula>
    </cfRule>
  </conditionalFormatting>
  <conditionalFormatting sqref="Y7">
    <cfRule type="cellIs" dxfId="1" priority="284" operator="equal">
      <formula>0</formula>
    </cfRule>
    <cfRule type="cellIs" dxfId="2" priority="285" operator="lessThan">
      <formula>G7</formula>
    </cfRule>
  </conditionalFormatting>
  <conditionalFormatting sqref="Y8">
    <cfRule type="cellIs" dxfId="1" priority="289" operator="equal">
      <formula>0</formula>
    </cfRule>
    <cfRule type="cellIs" dxfId="2" priority="290" operator="lessThan">
      <formula>G8</formula>
    </cfRule>
  </conditionalFormatting>
  <conditionalFormatting sqref="Y9">
    <cfRule type="cellIs" dxfId="1" priority="294" operator="equal">
      <formula>0</formula>
    </cfRule>
    <cfRule type="cellIs" dxfId="2" priority="295" operator="lessThan">
      <formula>G9</formula>
    </cfRule>
  </conditionalFormatting>
  <conditionalFormatting sqref="Z11">
    <cfRule type="cellIs" dxfId="1" priority="301" operator="greaterThan">
      <formula>Y11</formula>
    </cfRule>
  </conditionalFormatting>
  <conditionalFormatting sqref="Z13">
    <cfRule type="cellIs" dxfId="1" priority="306" operator="greaterThan">
      <formula>Y13</formula>
    </cfRule>
  </conditionalFormatting>
  <conditionalFormatting sqref="Z14">
    <cfRule type="cellIs" dxfId="1" priority="311" operator="greaterThan">
      <formula>Y14</formula>
    </cfRule>
  </conditionalFormatting>
  <conditionalFormatting sqref="Z15">
    <cfRule type="cellIs" dxfId="1" priority="316" operator="greaterThan">
      <formula>Y15</formula>
    </cfRule>
  </conditionalFormatting>
  <conditionalFormatting sqref="Z16">
    <cfRule type="cellIs" dxfId="1" priority="321" operator="greaterThan">
      <formula>Y16</formula>
    </cfRule>
  </conditionalFormatting>
  <conditionalFormatting sqref="Z18">
    <cfRule type="cellIs" dxfId="1" priority="326" operator="greaterThan">
      <formula>Y18</formula>
    </cfRule>
  </conditionalFormatting>
  <conditionalFormatting sqref="Z19">
    <cfRule type="cellIs" dxfId="1" priority="331" operator="greaterThan">
      <formula>Y19</formula>
    </cfRule>
  </conditionalFormatting>
  <conditionalFormatting sqref="Z23">
    <cfRule type="cellIs" dxfId="1" priority="336" operator="greaterThan">
      <formula>Y23</formula>
    </cfRule>
  </conditionalFormatting>
  <conditionalFormatting sqref="Z25">
    <cfRule type="cellIs" dxfId="1" priority="341" operator="greaterThan">
      <formula>Y25</formula>
    </cfRule>
  </conditionalFormatting>
  <conditionalFormatting sqref="Z26">
    <cfRule type="cellIs" dxfId="1" priority="346" operator="greaterThan">
      <formula>Y26</formula>
    </cfRule>
  </conditionalFormatting>
  <conditionalFormatting sqref="Z27">
    <cfRule type="cellIs" dxfId="1" priority="351" operator="greaterThan">
      <formula>Y27</formula>
    </cfRule>
  </conditionalFormatting>
  <conditionalFormatting sqref="Z29">
    <cfRule type="cellIs" dxfId="1" priority="356" operator="greaterThan">
      <formula>Y29</formula>
    </cfRule>
  </conditionalFormatting>
  <conditionalFormatting sqref="Z30">
    <cfRule type="cellIs" dxfId="1" priority="361" operator="greaterThan">
      <formula>Y30</formula>
    </cfRule>
  </conditionalFormatting>
  <conditionalFormatting sqref="Z31">
    <cfRule type="cellIs" dxfId="1" priority="366" operator="greaterThan">
      <formula>Y31</formula>
    </cfRule>
  </conditionalFormatting>
  <conditionalFormatting sqref="Z32">
    <cfRule type="cellIs" dxfId="1" priority="371" operator="greaterThan">
      <formula>Y32</formula>
    </cfRule>
  </conditionalFormatting>
  <conditionalFormatting sqref="Z7">
    <cfRule type="cellIs" dxfId="1" priority="286" operator="greaterThan">
      <formula>Y7</formula>
    </cfRule>
  </conditionalFormatting>
  <conditionalFormatting sqref="Z8">
    <cfRule type="cellIs" dxfId="1" priority="291" operator="greaterThan">
      <formula>Y8</formula>
    </cfRule>
  </conditionalFormatting>
  <conditionalFormatting sqref="Z9">
    <cfRule type="cellIs" dxfId="1" priority="296" operator="greaterThan">
      <formula>Y9</formula>
    </cfRule>
  </conditionalFormatting>
  <hyperlinks>
    <hyperlink ref="N7" r:id="rId1"/>
    <hyperlink ref="S7" r:id="rId2"/>
    <hyperlink ref="AC7" r:id="rId3"/>
    <hyperlink ref="N8" r:id="rId4"/>
    <hyperlink ref="S8" r:id="rId5"/>
    <hyperlink ref="AC8" r:id="rId6"/>
    <hyperlink ref="AC9" r:id="rId7"/>
    <hyperlink ref="N10" r:id="rId8"/>
    <hyperlink ref="N11" r:id="rId9"/>
    <hyperlink ref="S11" r:id="rId10"/>
    <hyperlink ref="AC11" r:id="rId11"/>
    <hyperlink ref="N12" r:id="rId12"/>
    <hyperlink ref="S13" r:id="rId13"/>
    <hyperlink ref="AC13" r:id="rId14"/>
    <hyperlink ref="N14" r:id="rId15"/>
    <hyperlink ref="S14" r:id="rId16"/>
    <hyperlink ref="X14" r:id="rId17"/>
    <hyperlink ref="AC14" r:id="rId18"/>
    <hyperlink ref="AM14" r:id="rId19"/>
    <hyperlink ref="N15" r:id="rId20"/>
    <hyperlink ref="S15" r:id="rId21"/>
    <hyperlink ref="AC15" r:id="rId22"/>
    <hyperlink ref="N16" r:id="rId23"/>
    <hyperlink ref="S16" r:id="rId24"/>
    <hyperlink ref="AC16" r:id="rId25"/>
    <hyperlink ref="AM16" r:id="rId26" location=""/>
    <hyperlink ref="N18" r:id="rId27"/>
    <hyperlink ref="S18" r:id="rId28"/>
    <hyperlink ref="AC18" r:id="rId29"/>
    <hyperlink ref="AH18" r:id="rId30"/>
    <hyperlink ref="N19" r:id="rId31"/>
    <hyperlink ref="S19" r:id="rId32"/>
    <hyperlink ref="AC19" r:id="rId33"/>
    <hyperlink ref="AH19" r:id="rId34"/>
    <hyperlink ref="S22" r:id="rId35"/>
    <hyperlink ref="N23" r:id="rId36"/>
    <hyperlink ref="AC23" r:id="rId37"/>
    <hyperlink ref="N24" r:id="rId38"/>
    <hyperlink ref="S24" r:id="rId39"/>
    <hyperlink ref="AH24" r:id="rId40"/>
    <hyperlink ref="S25" r:id="rId41"/>
    <hyperlink ref="AC25" r:id="rId42"/>
    <hyperlink ref="S26" r:id="rId43"/>
    <hyperlink ref="AC26" r:id="rId44"/>
    <hyperlink ref="N27" r:id="rId45"/>
    <hyperlink ref="S27" r:id="rId46"/>
    <hyperlink ref="AC27" r:id="rId47"/>
    <hyperlink ref="AM27" r:id="rId48" location=""/>
    <hyperlink ref="N29" r:id="rId49"/>
    <hyperlink ref="S29" r:id="rId50"/>
    <hyperlink ref="AC29" r:id="rId51"/>
    <hyperlink ref="N30" r:id="rId52"/>
    <hyperlink ref="S30" r:id="rId53"/>
    <hyperlink ref="AC30" r:id="rId54"/>
    <hyperlink ref="N31" r:id="rId55"/>
    <hyperlink ref="AC31" r:id="rId56"/>
    <hyperlink ref="N32" r:id="rId57"/>
    <hyperlink ref="S32" r:id="rId58"/>
    <hyperlink ref="AC32" r:id="rId59"/>
    <hyperlink ref="S33" r:id="rId60"/>
    <hyperlink ref="AC33" r:id="rId61"/>
  </hyperlinks>
  <pageMargins left="0.7" right="0.7" top="0.75" bottom="0.75" header="0.3" footer="0.3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klepcontroller</vt:lpstr>
      <vt:lpstr>BoardQty</vt:lpstr>
      <vt:lpstr>digikey_part_data</vt:lpstr>
      <vt:lpstr>farnell_part_data</vt:lpstr>
      <vt:lpstr>global_part_data</vt:lpstr>
      <vt:lpstr>mouser_part_data</vt:lpstr>
      <vt:lpstr>newark_part_data</vt:lpstr>
      <vt:lpstr>rs_part_data</vt:lpstr>
      <vt:lpstr>tme_part_data</vt:lpstr>
      <vt:lpstr>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2018-08-03T20:25:36Z</dcterms:created>
  <dcterms:modified xsi:type="dcterms:W3CDTF">2018-08-03T20:25:36Z</dcterms:modified>
</cp:coreProperties>
</file>